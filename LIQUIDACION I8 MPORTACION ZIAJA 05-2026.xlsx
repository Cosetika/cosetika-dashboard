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ando/Desktop/ZIAJA/ORDENES ZIAJA/Octava orden/"/>
    </mc:Choice>
  </mc:AlternateContent>
  <xr:revisionPtr revIDLastSave="0" documentId="13_ncr:1_{7402AC3E-494A-5740-91D1-E0467BDE88F4}" xr6:coauthVersionLast="47" xr6:coauthVersionMax="47" xr10:uidLastSave="{00000000-0000-0000-0000-000000000000}"/>
  <bookViews>
    <workbookView xWindow="0" yWindow="0" windowWidth="28800" windowHeight="18000" xr2:uid="{933FE53C-58D6-4D5C-A4CC-F70029B63C50}"/>
  </bookViews>
  <sheets>
    <sheet name="Costo Contable" sheetId="2" r:id="rId1"/>
  </sheets>
  <definedNames>
    <definedName name="_xlnm._FilterDatabase" localSheetId="0" hidden="1">'Costo Contable'!$A$32:$V$79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2" l="1"/>
  <c r="I28" i="2"/>
  <c r="H20" i="2"/>
  <c r="H21" i="2"/>
  <c r="H22" i="2"/>
  <c r="H23" i="2"/>
  <c r="H24" i="2"/>
  <c r="H25" i="2"/>
  <c r="H26" i="2"/>
  <c r="F27" i="2"/>
  <c r="H27" i="2" s="1"/>
  <c r="I26" i="2"/>
  <c r="I24" i="2"/>
  <c r="I25" i="2"/>
  <c r="F71" i="2"/>
  <c r="H71" i="2" s="1"/>
  <c r="F70" i="2"/>
  <c r="H70" i="2" s="1"/>
  <c r="F69" i="2"/>
  <c r="H69" i="2" s="1"/>
  <c r="H68" i="2"/>
  <c r="H72" i="2"/>
  <c r="H73" i="2"/>
  <c r="H74" i="2"/>
  <c r="H75" i="2"/>
  <c r="I11" i="2"/>
  <c r="I10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G79" i="2"/>
  <c r="I18" i="2"/>
  <c r="I17" i="2"/>
  <c r="I23" i="2"/>
  <c r="F29" i="2"/>
  <c r="H14" i="2"/>
  <c r="H33" i="2"/>
  <c r="I29" i="2" l="1"/>
  <c r="F79" i="2"/>
  <c r="I35" i="2" s="1"/>
  <c r="J35" i="2" s="1"/>
  <c r="K35" i="2" s="1"/>
  <c r="L35" i="2" s="1"/>
  <c r="M35" i="2" s="1"/>
  <c r="H79" i="2"/>
  <c r="H19" i="2"/>
  <c r="I22" i="2"/>
  <c r="I16" i="2"/>
  <c r="I19" i="2"/>
  <c r="I20" i="2"/>
  <c r="I21" i="2"/>
  <c r="I12" i="2"/>
  <c r="I13" i="2"/>
  <c r="I15" i="2"/>
  <c r="I27" i="2"/>
  <c r="J29" i="2" l="1"/>
  <c r="I67" i="2"/>
  <c r="J67" i="2" s="1"/>
  <c r="K67" i="2" s="1"/>
  <c r="L67" i="2" s="1"/>
  <c r="M67" i="2" s="1"/>
  <c r="I70" i="2"/>
  <c r="J70" i="2" s="1"/>
  <c r="K70" i="2" s="1"/>
  <c r="L70" i="2" s="1"/>
  <c r="M70" i="2" s="1"/>
  <c r="I65" i="2"/>
  <c r="J65" i="2" s="1"/>
  <c r="K65" i="2" s="1"/>
  <c r="L65" i="2" s="1"/>
  <c r="M65" i="2" s="1"/>
  <c r="I47" i="2"/>
  <c r="J47" i="2" s="1"/>
  <c r="K47" i="2" s="1"/>
  <c r="L47" i="2" s="1"/>
  <c r="M47" i="2" s="1"/>
  <c r="I45" i="2"/>
  <c r="J45" i="2" s="1"/>
  <c r="K45" i="2" s="1"/>
  <c r="L45" i="2" s="1"/>
  <c r="M45" i="2" s="1"/>
  <c r="I76" i="2"/>
  <c r="J76" i="2" s="1"/>
  <c r="L76" i="2" s="1"/>
  <c r="M76" i="2" s="1"/>
  <c r="I54" i="2"/>
  <c r="J54" i="2" s="1"/>
  <c r="K54" i="2" s="1"/>
  <c r="L54" i="2" s="1"/>
  <c r="M54" i="2" s="1"/>
  <c r="I51" i="2"/>
  <c r="J51" i="2" s="1"/>
  <c r="K51" i="2" s="1"/>
  <c r="L51" i="2" s="1"/>
  <c r="M51" i="2" s="1"/>
  <c r="I50" i="2"/>
  <c r="J50" i="2" s="1"/>
  <c r="K50" i="2" s="1"/>
  <c r="L50" i="2" s="1"/>
  <c r="M50" i="2" s="1"/>
  <c r="I36" i="2"/>
  <c r="J36" i="2" s="1"/>
  <c r="K36" i="2" s="1"/>
  <c r="L36" i="2" s="1"/>
  <c r="M36" i="2" s="1"/>
  <c r="I60" i="2"/>
  <c r="J60" i="2" s="1"/>
  <c r="K60" i="2" s="1"/>
  <c r="L60" i="2" s="1"/>
  <c r="M60" i="2" s="1"/>
  <c r="C6" i="2"/>
  <c r="I63" i="2"/>
  <c r="J63" i="2" s="1"/>
  <c r="K63" i="2" s="1"/>
  <c r="L63" i="2" s="1"/>
  <c r="M63" i="2" s="1"/>
  <c r="I66" i="2"/>
  <c r="J66" i="2" s="1"/>
  <c r="K66" i="2" s="1"/>
  <c r="L66" i="2" s="1"/>
  <c r="M66" i="2" s="1"/>
  <c r="I71" i="2"/>
  <c r="J71" i="2" s="1"/>
  <c r="K71" i="2" s="1"/>
  <c r="L71" i="2" s="1"/>
  <c r="M71" i="2" s="1"/>
  <c r="I38" i="2"/>
  <c r="J38" i="2" s="1"/>
  <c r="K38" i="2" s="1"/>
  <c r="L38" i="2" s="1"/>
  <c r="M38" i="2" s="1"/>
  <c r="I42" i="2"/>
  <c r="J42" i="2" s="1"/>
  <c r="K42" i="2" s="1"/>
  <c r="L42" i="2" s="1"/>
  <c r="M42" i="2" s="1"/>
  <c r="I75" i="2"/>
  <c r="J75" i="2" s="1"/>
  <c r="K75" i="2" s="1"/>
  <c r="L75" i="2" s="1"/>
  <c r="M75" i="2" s="1"/>
  <c r="I62" i="2"/>
  <c r="J62" i="2" s="1"/>
  <c r="K62" i="2" s="1"/>
  <c r="L62" i="2" s="1"/>
  <c r="M62" i="2" s="1"/>
  <c r="I69" i="2"/>
  <c r="J69" i="2" s="1"/>
  <c r="K69" i="2" s="1"/>
  <c r="L69" i="2" s="1"/>
  <c r="M69" i="2" s="1"/>
  <c r="I49" i="2"/>
  <c r="J49" i="2" s="1"/>
  <c r="K49" i="2" s="1"/>
  <c r="L49" i="2" s="1"/>
  <c r="M49" i="2" s="1"/>
  <c r="I39" i="2"/>
  <c r="J39" i="2" s="1"/>
  <c r="K39" i="2" s="1"/>
  <c r="L39" i="2" s="1"/>
  <c r="M39" i="2" s="1"/>
  <c r="I55" i="2"/>
  <c r="J55" i="2" s="1"/>
  <c r="K55" i="2" s="1"/>
  <c r="L55" i="2" s="1"/>
  <c r="M55" i="2" s="1"/>
  <c r="I34" i="2"/>
  <c r="J34" i="2" s="1"/>
  <c r="K34" i="2" s="1"/>
  <c r="L34" i="2" s="1"/>
  <c r="M34" i="2" s="1"/>
  <c r="I56" i="2"/>
  <c r="J56" i="2" s="1"/>
  <c r="K56" i="2" s="1"/>
  <c r="L56" i="2" s="1"/>
  <c r="M56" i="2" s="1"/>
  <c r="I72" i="2"/>
  <c r="J72" i="2" s="1"/>
  <c r="K72" i="2" s="1"/>
  <c r="L72" i="2" s="1"/>
  <c r="M72" i="2" s="1"/>
  <c r="I41" i="2"/>
  <c r="J41" i="2" s="1"/>
  <c r="K41" i="2" s="1"/>
  <c r="L41" i="2" s="1"/>
  <c r="M41" i="2" s="1"/>
  <c r="I52" i="2"/>
  <c r="J52" i="2" s="1"/>
  <c r="K52" i="2" s="1"/>
  <c r="L52" i="2" s="1"/>
  <c r="M52" i="2" s="1"/>
  <c r="I37" i="2"/>
  <c r="J37" i="2" s="1"/>
  <c r="K37" i="2" s="1"/>
  <c r="L37" i="2" s="1"/>
  <c r="M37" i="2" s="1"/>
  <c r="I44" i="2"/>
  <c r="J44" i="2" s="1"/>
  <c r="K44" i="2" s="1"/>
  <c r="L44" i="2" s="1"/>
  <c r="M44" i="2" s="1"/>
  <c r="I68" i="2"/>
  <c r="J68" i="2" s="1"/>
  <c r="K68" i="2" s="1"/>
  <c r="L68" i="2" s="1"/>
  <c r="M68" i="2" s="1"/>
  <c r="I57" i="2"/>
  <c r="J57" i="2" s="1"/>
  <c r="K57" i="2" s="1"/>
  <c r="L57" i="2" s="1"/>
  <c r="M57" i="2" s="1"/>
  <c r="I33" i="2"/>
  <c r="J33" i="2" s="1"/>
  <c r="K33" i="2" s="1"/>
  <c r="I43" i="2"/>
  <c r="J43" i="2" s="1"/>
  <c r="K43" i="2" s="1"/>
  <c r="L43" i="2" s="1"/>
  <c r="M43" i="2" s="1"/>
  <c r="I59" i="2"/>
  <c r="J59" i="2" s="1"/>
  <c r="K59" i="2" s="1"/>
  <c r="L59" i="2" s="1"/>
  <c r="M59" i="2" s="1"/>
  <c r="I40" i="2"/>
  <c r="J40" i="2" s="1"/>
  <c r="K40" i="2" s="1"/>
  <c r="L40" i="2" s="1"/>
  <c r="M40" i="2" s="1"/>
  <c r="I61" i="2"/>
  <c r="J61" i="2" s="1"/>
  <c r="K61" i="2" s="1"/>
  <c r="L61" i="2" s="1"/>
  <c r="M61" i="2" s="1"/>
  <c r="I74" i="2"/>
  <c r="J74" i="2" s="1"/>
  <c r="K74" i="2" s="1"/>
  <c r="L74" i="2" s="1"/>
  <c r="M74" i="2" s="1"/>
  <c r="I46" i="2"/>
  <c r="J46" i="2" s="1"/>
  <c r="K46" i="2" s="1"/>
  <c r="L46" i="2" s="1"/>
  <c r="M46" i="2" s="1"/>
  <c r="I58" i="2"/>
  <c r="J58" i="2" s="1"/>
  <c r="K58" i="2" s="1"/>
  <c r="L58" i="2" s="1"/>
  <c r="M58" i="2" s="1"/>
  <c r="I48" i="2"/>
  <c r="J48" i="2" s="1"/>
  <c r="K48" i="2" s="1"/>
  <c r="L48" i="2" s="1"/>
  <c r="M48" i="2" s="1"/>
  <c r="I53" i="2"/>
  <c r="J53" i="2" s="1"/>
  <c r="K53" i="2" s="1"/>
  <c r="L53" i="2" s="1"/>
  <c r="M53" i="2" s="1"/>
  <c r="I73" i="2"/>
  <c r="J73" i="2" s="1"/>
  <c r="K73" i="2" s="1"/>
  <c r="L73" i="2" s="1"/>
  <c r="M73" i="2" s="1"/>
  <c r="I64" i="2"/>
  <c r="J64" i="2" s="1"/>
  <c r="K64" i="2" s="1"/>
  <c r="L64" i="2" s="1"/>
  <c r="M64" i="2" s="1"/>
  <c r="I77" i="2"/>
  <c r="J77" i="2" s="1"/>
  <c r="L77" i="2" s="1"/>
  <c r="M77" i="2" s="1"/>
  <c r="N63" i="2" l="1"/>
  <c r="I79" i="2"/>
  <c r="N62" i="2"/>
  <c r="O62" i="2" s="1"/>
  <c r="N68" i="2"/>
  <c r="O68" i="2" s="1"/>
  <c r="N44" i="2"/>
  <c r="O44" i="2" s="1"/>
  <c r="N61" i="2"/>
  <c r="P61" i="2" s="1"/>
  <c r="Q61" i="2" s="1"/>
  <c r="N47" i="2"/>
  <c r="O47" i="2" s="1"/>
  <c r="N60" i="2"/>
  <c r="O60" i="2" s="1"/>
  <c r="N41" i="2"/>
  <c r="O41" i="2" s="1"/>
  <c r="N42" i="2"/>
  <c r="O42" i="2" s="1"/>
  <c r="N46" i="2"/>
  <c r="P46" i="2" s="1"/>
  <c r="Q46" i="2" s="1"/>
  <c r="N56" i="2"/>
  <c r="P56" i="2" s="1"/>
  <c r="Q56" i="2" s="1"/>
  <c r="N49" i="2"/>
  <c r="P49" i="2" s="1"/>
  <c r="Q49" i="2" s="1"/>
  <c r="N33" i="2"/>
  <c r="N40" i="2"/>
  <c r="O40" i="2" s="1"/>
  <c r="P68" i="2"/>
  <c r="Q68" i="2" s="1"/>
  <c r="N70" i="2"/>
  <c r="N71" i="2"/>
  <c r="N72" i="2"/>
  <c r="N73" i="2"/>
  <c r="N74" i="2"/>
  <c r="N75" i="2"/>
  <c r="N69" i="2"/>
  <c r="P69" i="2" s="1"/>
  <c r="Q69" i="2" s="1"/>
  <c r="N36" i="2"/>
  <c r="O36" i="2" s="1"/>
  <c r="N65" i="2"/>
  <c r="O65" i="2" s="1"/>
  <c r="N55" i="2"/>
  <c r="O55" i="2" s="1"/>
  <c r="N39" i="2"/>
  <c r="O39" i="2" s="1"/>
  <c r="N58" i="2"/>
  <c r="O58" i="2" s="1"/>
  <c r="N38" i="2"/>
  <c r="O38" i="2" s="1"/>
  <c r="N37" i="2"/>
  <c r="O37" i="2" s="1"/>
  <c r="N59" i="2"/>
  <c r="O59" i="2" s="1"/>
  <c r="N43" i="2"/>
  <c r="O43" i="2" s="1"/>
  <c r="N53" i="2"/>
  <c r="O53" i="2" s="1"/>
  <c r="N52" i="2"/>
  <c r="P52" i="2" s="1"/>
  <c r="Q52" i="2" s="1"/>
  <c r="N54" i="2"/>
  <c r="O54" i="2" s="1"/>
  <c r="N34" i="2"/>
  <c r="O34" i="2" s="1"/>
  <c r="N45" i="2"/>
  <c r="P45" i="2" s="1"/>
  <c r="Q45" i="2" s="1"/>
  <c r="N64" i="2"/>
  <c r="O64" i="2" s="1"/>
  <c r="N48" i="2"/>
  <c r="P48" i="2" s="1"/>
  <c r="Q48" i="2" s="1"/>
  <c r="N66" i="2"/>
  <c r="O66" i="2" s="1"/>
  <c r="N50" i="2"/>
  <c r="O50" i="2" s="1"/>
  <c r="N57" i="2"/>
  <c r="P57" i="2" s="1"/>
  <c r="Q57" i="2" s="1"/>
  <c r="N67" i="2"/>
  <c r="O67" i="2" s="1"/>
  <c r="N51" i="2"/>
  <c r="P51" i="2" s="1"/>
  <c r="Q51" i="2" s="1"/>
  <c r="N35" i="2"/>
  <c r="O35" i="2" s="1"/>
  <c r="O63" i="2" l="1"/>
  <c r="P63" i="2"/>
  <c r="Q63" i="2" s="1"/>
  <c r="O61" i="2"/>
  <c r="O48" i="2"/>
  <c r="P65" i="2"/>
  <c r="Q65" i="2" s="1"/>
  <c r="P64" i="2"/>
  <c r="Q64" i="2" s="1"/>
  <c r="O45" i="2"/>
  <c r="P53" i="2"/>
  <c r="Q53" i="2" s="1"/>
  <c r="O75" i="2"/>
  <c r="P75" i="2"/>
  <c r="Q75" i="2" s="1"/>
  <c r="O71" i="2"/>
  <c r="P71" i="2"/>
  <c r="Q71" i="2" s="1"/>
  <c r="O73" i="2"/>
  <c r="P73" i="2"/>
  <c r="Q73" i="2" s="1"/>
  <c r="P66" i="2"/>
  <c r="Q66" i="2" s="1"/>
  <c r="O72" i="2"/>
  <c r="P72" i="2"/>
  <c r="Q72" i="2" s="1"/>
  <c r="O74" i="2"/>
  <c r="P74" i="2"/>
  <c r="Q74" i="2" s="1"/>
  <c r="O70" i="2"/>
  <c r="P70" i="2"/>
  <c r="Q70" i="2" s="1"/>
  <c r="O46" i="2"/>
  <c r="P47" i="2"/>
  <c r="Q47" i="2" s="1"/>
  <c r="O49" i="2"/>
  <c r="P50" i="2"/>
  <c r="Q50" i="2" s="1"/>
  <c r="O52" i="2"/>
  <c r="P55" i="2"/>
  <c r="Q55" i="2" s="1"/>
  <c r="P60" i="2"/>
  <c r="Q60" i="2" s="1"/>
  <c r="P54" i="2"/>
  <c r="Q54" i="2" s="1"/>
  <c r="P59" i="2"/>
  <c r="Q59" i="2" s="1"/>
  <c r="P58" i="2"/>
  <c r="Q58" i="2" s="1"/>
  <c r="O56" i="2"/>
  <c r="O57" i="2"/>
  <c r="P44" i="2"/>
  <c r="Q44" i="2" s="1"/>
  <c r="O69" i="2"/>
  <c r="P67" i="2"/>
  <c r="Q67" i="2" s="1"/>
  <c r="P41" i="2"/>
  <c r="Q41" i="2" s="1"/>
  <c r="O51" i="2"/>
  <c r="P42" i="2"/>
  <c r="Q42" i="2" s="1"/>
  <c r="P43" i="2"/>
  <c r="Q43" i="2" s="1"/>
  <c r="P62" i="2"/>
  <c r="Q62" i="2" s="1"/>
  <c r="N79" i="2"/>
  <c r="P36" i="2"/>
  <c r="Q36" i="2" s="1"/>
  <c r="P37" i="2"/>
  <c r="Q37" i="2" s="1"/>
  <c r="P40" i="2"/>
  <c r="Q40" i="2" s="1"/>
  <c r="P38" i="2"/>
  <c r="Q38" i="2" s="1"/>
  <c r="P35" i="2"/>
  <c r="Q35" i="2" s="1"/>
  <c r="P39" i="2"/>
  <c r="Q39" i="2" s="1"/>
  <c r="P34" i="2" l="1"/>
  <c r="J79" i="2"/>
  <c r="H29" i="2"/>
  <c r="Q34" i="2" l="1"/>
  <c r="L33" i="2" l="1"/>
  <c r="M33" i="2" s="1"/>
  <c r="O33" i="2"/>
  <c r="L79" i="2" l="1"/>
  <c r="M79" i="2"/>
  <c r="P33" i="2" l="1"/>
  <c r="Q33" i="2" s="1"/>
  <c r="P7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F.E.</author>
  </authors>
  <commentList>
    <comment ref="K10" authorId="0" shapeId="0" xr:uid="{B5CA0133-4BB7-4337-9E86-6A44F029F7C5}">
      <text>
        <r>
          <rPr>
            <b/>
            <sz val="10"/>
            <color rgb="FF000000"/>
            <rFont val="Tahoma"/>
            <family val="2"/>
          </rPr>
          <t>F.E.: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ESTA CANTIDAD FUE EL PAGO REAL
</t>
        </r>
      </text>
    </comment>
  </commentList>
</comments>
</file>

<file path=xl/sharedStrings.xml><?xml version="1.0" encoding="utf-8"?>
<sst xmlns="http://schemas.openxmlformats.org/spreadsheetml/2006/main" count="226" uniqueCount="159">
  <si>
    <t>TIPO DE GASTO</t>
  </si>
  <si>
    <t>PROVEEDOR</t>
  </si>
  <si>
    <t>FECHA</t>
  </si>
  <si>
    <t xml:space="preserve">DOCUMENTO </t>
  </si>
  <si>
    <t>TOTAL</t>
  </si>
  <si>
    <t>DATO PARA CIF</t>
  </si>
  <si>
    <t xml:space="preserve"> ADVALOREM</t>
  </si>
  <si>
    <t>SENAE</t>
  </si>
  <si>
    <t xml:space="preserve"> FODINFA</t>
  </si>
  <si>
    <t xml:space="preserve">BANCO PRODUBANCO </t>
  </si>
  <si>
    <t>IVA IMPORTACION</t>
  </si>
  <si>
    <t>.</t>
  </si>
  <si>
    <t>TOTAL IMPORTACION</t>
  </si>
  <si>
    <t>COD</t>
  </si>
  <si>
    <t>CATEGORIA</t>
  </si>
  <si>
    <t xml:space="preserve">DESCRIPCION </t>
  </si>
  <si>
    <t>COSTO NETO FOB UNITARIO</t>
  </si>
  <si>
    <t>COSTO FOB  TOTAL</t>
  </si>
  <si>
    <t>COSTO FOB NETO US DOLARES</t>
  </si>
  <si>
    <t>COSTO CIF</t>
  </si>
  <si>
    <t>COSTO UNITARIO  FOB + CIF</t>
  </si>
  <si>
    <t>COSTO UNITARIO   CIF</t>
  </si>
  <si>
    <t>COSTO TOTAL FOB + CIF</t>
  </si>
  <si>
    <t>VALOR SIN IMP</t>
  </si>
  <si>
    <t>FLETE</t>
  </si>
  <si>
    <t>Nro</t>
  </si>
  <si>
    <t>CORPORACIÓN COSETIKA S.A.S.</t>
  </si>
  <si>
    <t>FECHA DE LIQUIDACION</t>
  </si>
  <si>
    <t>LIQUIDACION:</t>
  </si>
  <si>
    <t>DAU:</t>
  </si>
  <si>
    <t>IVA CRED. TRIBUTARIO</t>
  </si>
  <si>
    <t xml:space="preserve">PRODUCTOS FOB </t>
  </si>
  <si>
    <t>CANTIDAD EN CAJAS</t>
  </si>
  <si>
    <t>CANTIDAD EN UNIDADES</t>
  </si>
  <si>
    <t>SERVICIOS FINANCIEROS</t>
  </si>
  <si>
    <t>IMP A LA SALIDA DE DIVISAS</t>
  </si>
  <si>
    <t>% PROPORCION FOB FACTURA</t>
  </si>
  <si>
    <t>COSTO FOB NETO  TOTAL</t>
  </si>
  <si>
    <t>PANATWORLD LOGISTICS S.A.</t>
  </si>
  <si>
    <t>BODEGAJE Y AGENCIAMIENTO ADUANERO</t>
  </si>
  <si>
    <t>ZIAJA PRO</t>
  </si>
  <si>
    <t>T9792</t>
  </si>
  <si>
    <t>FLETE INTERNO</t>
  </si>
  <si>
    <t>AGENDAMIENTO ADUANA</t>
  </si>
  <si>
    <t>ZURICH SEGUROS ECUADOR S.A.</t>
  </si>
  <si>
    <t xml:space="preserve">POLIZA DE SEGURO </t>
  </si>
  <si>
    <t>TRANSPORTE Y EMBALAJE EXTERIOR</t>
  </si>
  <si>
    <t>TRANSPORTE DEL EXTERIOR</t>
  </si>
  <si>
    <t>GMA CGM</t>
  </si>
  <si>
    <t>BL</t>
  </si>
  <si>
    <t>101359-003</t>
  </si>
  <si>
    <t>101362-003</t>
  </si>
  <si>
    <t>101438-003</t>
  </si>
  <si>
    <t>101866-001</t>
  </si>
  <si>
    <t>101868-001</t>
  </si>
  <si>
    <t>115121-002</t>
  </si>
  <si>
    <t>115174-001</t>
  </si>
  <si>
    <t>115179-001</t>
  </si>
  <si>
    <t>115181-001</t>
  </si>
  <si>
    <t>115207-003</t>
  </si>
  <si>
    <t>15195/15200</t>
  </si>
  <si>
    <t>115204-002</t>
  </si>
  <si>
    <t>115206-002</t>
  </si>
  <si>
    <t>115208-002</t>
  </si>
  <si>
    <t>115730-001</t>
  </si>
  <si>
    <t>115778-002</t>
  </si>
  <si>
    <t>115776-002</t>
  </si>
  <si>
    <t>115939-001</t>
  </si>
  <si>
    <t>116332-001</t>
  </si>
  <si>
    <t>116333-001</t>
  </si>
  <si>
    <t>116334-001</t>
  </si>
  <si>
    <t>119577-003</t>
  </si>
  <si>
    <t>118741-002</t>
  </si>
  <si>
    <t>118743-001</t>
  </si>
  <si>
    <t>118742-002</t>
  </si>
  <si>
    <t>115175-001</t>
  </si>
  <si>
    <t>115791-001</t>
  </si>
  <si>
    <t>115992-003</t>
  </si>
  <si>
    <t>15994/15993</t>
  </si>
  <si>
    <t>T9795</t>
  </si>
  <si>
    <t>PROGRAMA DE HIDRATACIÓN ANTIEDAD PRO: SÉRUM HYDRO-TRIO (ÁCIDO HIALURÓNICO + VITAMINA C)</t>
  </si>
  <si>
    <t>TRANSPORTE MARÍTIMO - ENTREGA DE EXPORTACIÓN</t>
  </si>
  <si>
    <t>SEGURO DE TRANSPORTE - ENTREGA DE EXPORTACIÓN</t>
  </si>
  <si>
    <t>pcs</t>
  </si>
  <si>
    <t>set</t>
  </si>
  <si>
    <t>PROGRAMA DE LIMPIEZA PRO: GEL LIMPIADOR ANTI-IMPERFECCIONES SEBO-CONTROL 500 ML</t>
  </si>
  <si>
    <t>PROGRAMAS DE CUIDADO PRO: MASCARILLA CALMANTE 250 ML</t>
  </si>
  <si>
    <t>PROGRAMAS DE CUIDADO PRO: CREMA FACIAL HIDRATANTE ULTRALIGERA SPF 50+ UVA+UVB, MUY ALTA PROTECCIÓN 90 ML</t>
  </si>
  <si>
    <t>PROGRAMA DE LIMPIEZA PRO: DÚO-PEELING (PAPAINA + ÁCIDOS AHA, PH 4.0) 200 ML</t>
  </si>
  <si>
    <t>CREMA LIMPIADORA MEDIANA REDUCTORA DE IMPERFECCIONES 50 ML</t>
  </si>
  <si>
    <t>CREMA FACIAL CON COLOR MED PROTECTIVE SPF 50+ TONIFICANTE NATURAL 50 ML</t>
  </si>
  <si>
    <t>CREMA FACIAL MATIFICANTE MED PROTECTIVE SPF 50+ 50 ML</t>
  </si>
  <si>
    <t>CREMA DE DÍA PARA EL CONTORNO DE OJOS MED LIPID FIZJODERM</t>
  </si>
  <si>
    <t>CREMA CALMANTE ANTI-ENROJECIMIENTO MED 50 ML</t>
  </si>
  <si>
    <t>CREMA DE NOCHE BLANQUEADORA ANTIARRUGAS MED 50 ML</t>
  </si>
  <si>
    <t>MED CON VITAMINA C + ÁCIDO HIALURÓNICO</t>
  </si>
  <si>
    <t>TÓNICO REFINADOR DE POROS DE ÁRBOL DE MANUKA 200 ML</t>
  </si>
  <si>
    <t>CREMA HIDRATANTE DE ÁRBOL DE MANUKA SPF 10 50 ML</t>
  </si>
  <si>
    <t>CREMA DE NOCHE DE ÁRBOL DE MANUKA CON ÁCIDO MANDÉLICO 50 ML</t>
  </si>
  <si>
    <t>PASTA LIMPIADORA PROFUNDA DE ÁRBOL DE MANUKA 75 ML</t>
  </si>
  <si>
    <t>GEL LIMPIADOR NORMALIZADOR DE ÁRBOL DE MANUKA 200 ML</t>
  </si>
  <si>
    <t>CREMA SOLAR ANTIOXIDANTE CON VITAMINA C FPS 50+ 50 ML</t>
  </si>
  <si>
    <t>CREMA NUTRITIVA Y REGENERADORA DE BAYAS DE ACAI 50 ML</t>
  </si>
  <si>
    <t>SÉRUM FACIAL SUAVIZANTE Y REAFIRMANTE DE BAYAS DE ACAI 50 ML</t>
  </si>
  <si>
    <t>TÓNICO DE BAYAS DE ACAI CON ÁCIDO HIALURÓNICO 200 ML</t>
  </si>
  <si>
    <t>GEL MICELAR DE BAYAS DE ACAI CON EXFOLIANTE FACIAL 200 ML</t>
  </si>
  <si>
    <t>GEL LIMPIADOR CREMOSO DE MANTECA DE CACAO 500 ML</t>
  </si>
  <si>
    <t>CREMA DE MANOS DE MANTECA DE CACAO 80 ML</t>
  </si>
  <si>
    <t>CREMA FACIAL NOCTURNA HIDRATANTE NATURAL CON VITAMINA C Y NIACINAMIDA 50 ML</t>
  </si>
  <si>
    <t>LOCIÓN CORPORAL HIDRATANTE DIARIA CON VITAMINA C Y NIACINAMIDA 200 ML</t>
  </si>
  <si>
    <t>ÁCIDO NO DIARIO HIDRATANTE NATURAL CON VITAMINA C Y NIACINAMIDA TÓNICO 120 ML</t>
  </si>
  <si>
    <t>ESPUMA LIMPIADORA PARA PIEL SENSIBLE 150 ML</t>
  </si>
  <si>
    <t>CREMA DE NOCHE ANTIARRUGAS DE JAZMÍN 50 ML</t>
  </si>
  <si>
    <t>CREMA DE DÍA ANTIARRUGAS DE JAZMÍN 50 ML</t>
  </si>
  <si>
    <t>ESENCIA ANTIARRUGAS DE JAZMÍN 30 ML</t>
  </si>
  <si>
    <t>CONTORNO DE OJOS ANTIARRUGAS DE JAZMÍN 15 ML</t>
  </si>
  <si>
    <t>LÍQUIDO MICELAR DE JAZMÍN 200 ML</t>
  </si>
  <si>
    <t>PR_2IN1_SÉRUM FACIAL HIDRATANTE ACTIVO CON VITAMINA C Y NIACINAMIDA 30 ML</t>
  </si>
  <si>
    <t>PR_2IN1_GEL LIMPIADOR FACIAL HIDRATANTE CON VITAMINA C Y NIACINAMIDA 190 ML ML</t>
  </si>
  <si>
    <t>PR_2EN1_CREMA HIDRATANTE ENERGIZANTE NATURAL CON VITAMINA C.B3 Y NIACINAMIDA (50 ML) + CREMA HIDRATANTE ENERGIZANTE NATURAL CON VITAMINA C.B3 Y NIACINAMIDA (50 ML)</t>
  </si>
  <si>
    <t>REDUCTOR DE MANCHAS Y DECOLORACIÓN BLANQUEADOR MEDIANO (30 ML)</t>
  </si>
  <si>
    <t>LECHE CORPORAL DE MANTECA DE CACAO (400 ML)</t>
  </si>
  <si>
    <t>DESMAQUILLANTE DE OJOS BIFÁSICO (120 ML)</t>
  </si>
  <si>
    <t>CREMA BB CON TONO NATURAL PARA PIEL GRASA (50 ML)</t>
  </si>
  <si>
    <r>
      <t>1</t>
    </r>
    <r>
      <rPr>
        <sz val="9"/>
        <color rgb="FFFF0000"/>
        <rFont val="Aptos Narrow"/>
        <family val="2"/>
        <scheme val="minor"/>
      </rPr>
      <t>15018</t>
    </r>
    <r>
      <rPr>
        <sz val="9"/>
        <color theme="1"/>
        <rFont val="Aptos Narrow"/>
        <family val="2"/>
        <scheme val="minor"/>
      </rPr>
      <t>-003</t>
    </r>
  </si>
  <si>
    <r>
      <t>1</t>
    </r>
    <r>
      <rPr>
        <sz val="9"/>
        <color rgb="FFFF0000"/>
        <rFont val="Aptos Narrow"/>
        <family val="2"/>
        <scheme val="minor"/>
      </rPr>
      <t>15022</t>
    </r>
    <r>
      <rPr>
        <sz val="9"/>
        <color theme="1"/>
        <rFont val="Aptos Narrow"/>
        <family val="2"/>
        <scheme val="minor"/>
      </rPr>
      <t>-002</t>
    </r>
  </si>
  <si>
    <r>
      <t>1</t>
    </r>
    <r>
      <rPr>
        <sz val="9"/>
        <color rgb="FFFF0000"/>
        <rFont val="Aptos Narrow"/>
        <family val="2"/>
        <scheme val="minor"/>
      </rPr>
      <t>15023</t>
    </r>
    <r>
      <rPr>
        <sz val="9"/>
        <color theme="1"/>
        <rFont val="Aptos Narrow"/>
        <family val="2"/>
        <scheme val="minor"/>
      </rPr>
      <t>-002</t>
    </r>
  </si>
  <si>
    <r>
      <t>11</t>
    </r>
    <r>
      <rPr>
        <sz val="9"/>
        <color rgb="FFFF0000"/>
        <rFont val="Aptos Narrow"/>
        <family val="2"/>
        <scheme val="minor"/>
      </rPr>
      <t>5094</t>
    </r>
    <r>
      <rPr>
        <sz val="9"/>
        <color theme="1"/>
        <rFont val="Aptos Narrow"/>
        <family val="2"/>
        <scheme val="minor"/>
      </rPr>
      <t>-002</t>
    </r>
  </si>
  <si>
    <r>
      <t>1</t>
    </r>
    <r>
      <rPr>
        <sz val="9"/>
        <color rgb="FFFF0000"/>
        <rFont val="Aptos Narrow"/>
        <family val="2"/>
        <scheme val="minor"/>
      </rPr>
      <t>15198</t>
    </r>
    <r>
      <rPr>
        <sz val="9"/>
        <color theme="1"/>
        <rFont val="Aptos Narrow"/>
        <family val="2"/>
        <scheme val="minor"/>
      </rPr>
      <t>-002</t>
    </r>
  </si>
  <si>
    <r>
      <t>1</t>
    </r>
    <r>
      <rPr>
        <sz val="9"/>
        <color rgb="FFFF0000"/>
        <rFont val="Aptos Narrow"/>
        <family val="2"/>
        <scheme val="minor"/>
      </rPr>
      <t>15567</t>
    </r>
    <r>
      <rPr>
        <sz val="9"/>
        <color theme="1"/>
        <rFont val="Aptos Narrow"/>
        <family val="2"/>
        <scheme val="minor"/>
      </rPr>
      <t>-003</t>
    </r>
  </si>
  <si>
    <r>
      <t>1</t>
    </r>
    <r>
      <rPr>
        <sz val="9"/>
        <color rgb="FFFF0000"/>
        <rFont val="Aptos Narrow"/>
        <family val="2"/>
        <scheme val="minor"/>
      </rPr>
      <t>15729</t>
    </r>
    <r>
      <rPr>
        <sz val="9"/>
        <color theme="1"/>
        <rFont val="Aptos Narrow"/>
        <family val="2"/>
        <scheme val="minor"/>
      </rPr>
      <t>-002</t>
    </r>
  </si>
  <si>
    <r>
      <t>1</t>
    </r>
    <r>
      <rPr>
        <sz val="9"/>
        <color rgb="FFFF0000"/>
        <rFont val="Aptos Narrow"/>
        <family val="2"/>
        <scheme val="minor"/>
      </rPr>
      <t>15732</t>
    </r>
    <r>
      <rPr>
        <sz val="9"/>
        <color theme="1"/>
        <rFont val="Aptos Narrow"/>
        <family val="2"/>
        <scheme val="minor"/>
      </rPr>
      <t>-002</t>
    </r>
  </si>
  <si>
    <r>
      <t>1</t>
    </r>
    <r>
      <rPr>
        <sz val="9"/>
        <color rgb="FFFF0000"/>
        <rFont val="Aptos Narrow"/>
        <family val="2"/>
        <scheme val="minor"/>
      </rPr>
      <t>15731</t>
    </r>
    <r>
      <rPr>
        <sz val="9"/>
        <color theme="1"/>
        <rFont val="Aptos Narrow"/>
        <family val="2"/>
        <scheme val="minor"/>
      </rPr>
      <t>-002</t>
    </r>
  </si>
  <si>
    <r>
      <t>1</t>
    </r>
    <r>
      <rPr>
        <sz val="9"/>
        <color rgb="FFFF0000"/>
        <rFont val="Aptos Narrow"/>
        <family val="2"/>
        <scheme val="minor"/>
      </rPr>
      <t>15937</t>
    </r>
    <r>
      <rPr>
        <sz val="9"/>
        <color theme="1"/>
        <rFont val="Aptos Narrow"/>
        <family val="2"/>
        <scheme val="minor"/>
      </rPr>
      <t>-002</t>
    </r>
  </si>
  <si>
    <r>
      <t>1</t>
    </r>
    <r>
      <rPr>
        <sz val="9"/>
        <color rgb="FFFF0000"/>
        <rFont val="Aptos Narrow"/>
        <family val="2"/>
        <scheme val="minor"/>
      </rPr>
      <t>15941</t>
    </r>
    <r>
      <rPr>
        <sz val="9"/>
        <color theme="1"/>
        <rFont val="Aptos Narrow"/>
        <family val="2"/>
        <scheme val="minor"/>
      </rPr>
      <t>-002</t>
    </r>
  </si>
  <si>
    <r>
      <t>1</t>
    </r>
    <r>
      <rPr>
        <sz val="9"/>
        <color rgb="FFFF0000"/>
        <rFont val="Aptos Narrow"/>
        <family val="2"/>
        <scheme val="minor"/>
      </rPr>
      <t>15984</t>
    </r>
    <r>
      <rPr>
        <sz val="9"/>
        <color theme="1"/>
        <rFont val="Aptos Narrow"/>
        <family val="2"/>
        <scheme val="minor"/>
      </rPr>
      <t>-002</t>
    </r>
  </si>
  <si>
    <r>
      <t>1</t>
    </r>
    <r>
      <rPr>
        <b/>
        <sz val="9"/>
        <color rgb="FFFF0000"/>
        <rFont val="Aptos Narrow"/>
        <family val="2"/>
        <scheme val="minor"/>
      </rPr>
      <t>16331</t>
    </r>
    <r>
      <rPr>
        <sz val="9"/>
        <color theme="1"/>
        <rFont val="Aptos Narrow"/>
        <family val="2"/>
        <scheme val="minor"/>
      </rPr>
      <t>-002</t>
    </r>
  </si>
  <si>
    <r>
      <t>1</t>
    </r>
    <r>
      <rPr>
        <sz val="9"/>
        <color rgb="FFFF0000"/>
        <rFont val="Aptos Narrow"/>
        <family val="2"/>
        <scheme val="minor"/>
      </rPr>
      <t>16330</t>
    </r>
    <r>
      <rPr>
        <sz val="9"/>
        <color theme="1"/>
        <rFont val="Aptos Narrow"/>
        <family val="2"/>
        <scheme val="minor"/>
      </rPr>
      <t>-002</t>
    </r>
  </si>
  <si>
    <r>
      <t>1</t>
    </r>
    <r>
      <rPr>
        <sz val="9"/>
        <color rgb="FFFF0000"/>
        <rFont val="Aptos Narrow"/>
        <family val="2"/>
        <scheme val="minor"/>
      </rPr>
      <t>16220</t>
    </r>
    <r>
      <rPr>
        <sz val="9"/>
        <color theme="1"/>
        <rFont val="Aptos Narrow"/>
        <family val="2"/>
        <scheme val="minor"/>
      </rPr>
      <t>-002</t>
    </r>
  </si>
  <si>
    <t>15199</t>
  </si>
  <si>
    <t xml:space="preserve">PR_2IN1_CREMA HIDRATANTE DE ÁRBOL DE MANUKA CON SPF 10 50 ML + </t>
  </si>
  <si>
    <t>CREMA DE ÁRBOL DE MANUKA CON ÁCIDO MANDÉLICO</t>
  </si>
  <si>
    <t xml:space="preserve">15198 </t>
  </si>
  <si>
    <t>RT204018876</t>
  </si>
  <si>
    <t>FC 001-003-008950334</t>
  </si>
  <si>
    <t>SACO SHIPPING S.A</t>
  </si>
  <si>
    <t>GASTO PORTUARIO</t>
  </si>
  <si>
    <t>DESCONSOLIDACION</t>
  </si>
  <si>
    <t>GTO OPERATIVO</t>
  </si>
  <si>
    <t>ADMINISTRACION</t>
  </si>
  <si>
    <t>RECARGOS VARIOS</t>
  </si>
  <si>
    <t>FC 001-003-000003638</t>
  </si>
  <si>
    <t>FC 001-003-000003683</t>
  </si>
  <si>
    <t>FC 001-005-000111425</t>
  </si>
  <si>
    <t>DAI 51580554</t>
  </si>
  <si>
    <t xml:space="preserve">LIQUIDACION DE IMPORTACION No. </t>
  </si>
  <si>
    <t>MAARCA</t>
  </si>
  <si>
    <t xml:space="preserve">ZIAJA  </t>
  </si>
  <si>
    <t>UNIDADES IMPORTADAS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</si>
</sst>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 [$€-2]\ * #,##0.00_ ;_ [$€-2]\ * \-#,##0.00_ ;_ [$€-2]\ * &quot;-&quot;??_ ;_ @_ "/>
    <numFmt numFmtId="165" formatCode="_ &quot;$&quot;* #,##0.0000_ ;_ &quot;$&quot;* \-#,##0.0000_ ;_ &quot;$&quot;* &quot;-&quot;??_ ;_ @_ "/>
    <numFmt numFmtId="166" formatCode="_ &quot;$&quot;* #,##0.000_ ;_ &quot;$&quot;* \-#,##0.000_ ;_ &quot;$&quot;* &quot;-&quot;??_ ;_ @_ 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9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333333"/>
      <name val="Aptos Narrow"/>
      <family val="2"/>
      <scheme val="minor"/>
    </font>
    <font>
      <b/>
      <sz val="9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8"/>
      <name val="Aptos Narrow"/>
      <family val="2"/>
      <scheme val="minor"/>
    </font>
    <font>
      <sz val="8"/>
      <name val="Helvetica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8"/>
      <color rgb="FF000000"/>
      <name val="Tahoma"/>
      <family val="2"/>
    </font>
    <font>
      <b/>
      <sz val="8"/>
      <color theme="1"/>
      <name val="Courier-Bold-Ogonki"/>
    </font>
    <font>
      <sz val="9"/>
      <color theme="1"/>
      <name val="Aptos Narrow"/>
      <family val="2"/>
    </font>
    <font>
      <i/>
      <sz val="9"/>
      <name val="Aptos Narrow"/>
      <family val="2"/>
    </font>
    <font>
      <sz val="9"/>
      <color rgb="FFFF0000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i/>
      <sz val="9"/>
      <name val="Aptos Narrow"/>
      <family val="2"/>
      <scheme val="minor"/>
    </font>
    <font>
      <b/>
      <sz val="9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3" fillId="0" borderId="0" xfId="0" applyFont="1"/>
    <xf numFmtId="44" fontId="3" fillId="0" borderId="0" xfId="2" applyFont="1"/>
    <xf numFmtId="14" fontId="3" fillId="0" borderId="0" xfId="0" applyNumberFormat="1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2" fontId="2" fillId="3" borderId="0" xfId="0" applyNumberFormat="1" applyFont="1" applyFill="1" applyAlignment="1">
      <alignment horizontal="center" wrapText="1"/>
    </xf>
    <xf numFmtId="44" fontId="2" fillId="3" borderId="0" xfId="2" applyFont="1" applyFill="1"/>
    <xf numFmtId="0" fontId="3" fillId="3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 wrapText="1"/>
    </xf>
    <xf numFmtId="49" fontId="2" fillId="3" borderId="0" xfId="0" applyNumberFormat="1" applyFont="1" applyFill="1" applyAlignment="1">
      <alignment horizontal="center" wrapText="1"/>
    </xf>
    <xf numFmtId="0" fontId="8" fillId="0" borderId="0" xfId="0" applyFont="1"/>
    <xf numFmtId="0" fontId="10" fillId="2" borderId="0" xfId="0" applyFont="1" applyFill="1"/>
    <xf numFmtId="43" fontId="10" fillId="2" borderId="0" xfId="1" applyFont="1" applyFill="1"/>
    <xf numFmtId="0" fontId="9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left"/>
    </xf>
    <xf numFmtId="44" fontId="3" fillId="0" borderId="0" xfId="2" applyFont="1" applyFill="1" applyAlignment="1">
      <alignment wrapText="1"/>
    </xf>
    <xf numFmtId="44" fontId="3" fillId="0" borderId="0" xfId="0" applyNumberFormat="1" applyFont="1"/>
    <xf numFmtId="44" fontId="8" fillId="0" borderId="0" xfId="0" applyNumberFormat="1" applyFont="1"/>
    <xf numFmtId="44" fontId="4" fillId="0" borderId="0" xfId="2" applyFont="1" applyFill="1" applyAlignment="1">
      <alignment wrapText="1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44" fontId="3" fillId="0" borderId="0" xfId="0" applyNumberFormat="1" applyFont="1" applyAlignment="1">
      <alignment wrapText="1"/>
    </xf>
    <xf numFmtId="44" fontId="5" fillId="0" borderId="0" xfId="0" applyNumberFormat="1" applyFont="1" applyAlignment="1">
      <alignment wrapText="1"/>
    </xf>
    <xf numFmtId="44" fontId="4" fillId="0" borderId="0" xfId="0" applyNumberFormat="1" applyFont="1" applyAlignment="1">
      <alignment wrapText="1"/>
    </xf>
    <xf numFmtId="44" fontId="5" fillId="0" borderId="0" xfId="2" applyFont="1" applyFill="1" applyAlignment="1">
      <alignment wrapText="1"/>
    </xf>
    <xf numFmtId="14" fontId="5" fillId="0" borderId="0" xfId="0" applyNumberFormat="1" applyFont="1" applyAlignment="1">
      <alignment wrapText="1"/>
    </xf>
    <xf numFmtId="0" fontId="16" fillId="0" borderId="0" xfId="0" applyFont="1" applyAlignment="1">
      <alignment horizontal="right"/>
    </xf>
    <xf numFmtId="164" fontId="5" fillId="0" borderId="0" xfId="0" applyNumberFormat="1" applyFont="1"/>
    <xf numFmtId="44" fontId="5" fillId="0" borderId="0" xfId="2" applyFont="1" applyFill="1"/>
    <xf numFmtId="165" fontId="5" fillId="0" borderId="0" xfId="0" applyNumberFormat="1" applyFont="1"/>
    <xf numFmtId="44" fontId="3" fillId="5" borderId="0" xfId="2" applyFont="1" applyFill="1"/>
    <xf numFmtId="44" fontId="3" fillId="6" borderId="0" xfId="2" applyFont="1" applyFill="1" applyAlignment="1">
      <alignment wrapText="1"/>
    </xf>
    <xf numFmtId="44" fontId="3" fillId="6" borderId="0" xfId="0" applyNumberFormat="1" applyFont="1" applyFill="1" applyAlignment="1">
      <alignment wrapText="1"/>
    </xf>
    <xf numFmtId="44" fontId="5" fillId="0" borderId="0" xfId="0" applyNumberFormat="1" applyFont="1"/>
    <xf numFmtId="43" fontId="17" fillId="0" borderId="0" xfId="1" applyFont="1"/>
    <xf numFmtId="44" fontId="17" fillId="0" borderId="0" xfId="2" applyFont="1"/>
    <xf numFmtId="164" fontId="17" fillId="0" borderId="0" xfId="0" applyNumberFormat="1" applyFont="1" applyAlignment="1">
      <alignment horizontal="center"/>
    </xf>
    <xf numFmtId="164" fontId="9" fillId="0" borderId="0" xfId="0" applyNumberFormat="1" applyFont="1"/>
    <xf numFmtId="44" fontId="9" fillId="0" borderId="0" xfId="0" applyNumberFormat="1" applyFont="1"/>
    <xf numFmtId="166" fontId="17" fillId="0" borderId="0" xfId="2" applyNumberFormat="1" applyFont="1" applyFill="1"/>
    <xf numFmtId="1" fontId="18" fillId="4" borderId="0" xfId="0" applyNumberFormat="1" applyFont="1" applyFill="1" applyAlignment="1" applyProtection="1">
      <alignment horizontal="center"/>
      <protection locked="0"/>
    </xf>
    <xf numFmtId="1" fontId="18" fillId="0" borderId="0" xfId="0" applyNumberFormat="1" applyFont="1" applyAlignment="1" applyProtection="1">
      <alignment horizontal="center"/>
      <protection locked="0"/>
    </xf>
    <xf numFmtId="43" fontId="8" fillId="0" borderId="0" xfId="1" applyFont="1"/>
    <xf numFmtId="49" fontId="19" fillId="0" borderId="0" xfId="0" applyNumberFormat="1" applyFont="1"/>
    <xf numFmtId="43" fontId="8" fillId="0" borderId="0" xfId="0" applyNumberFormat="1" applyFont="1"/>
    <xf numFmtId="0" fontId="3" fillId="0" borderId="0" xfId="0" applyFont="1" applyAlignment="1">
      <alignment horizontal="left" indent="1"/>
    </xf>
    <xf numFmtId="49" fontId="3" fillId="0" borderId="0" xfId="1" applyNumberFormat="1" applyFont="1" applyAlignment="1">
      <alignment horizontal="left" indent="1"/>
    </xf>
    <xf numFmtId="0" fontId="12" fillId="0" borderId="0" xfId="0" applyFont="1" applyAlignment="1">
      <alignment horizontal="left" indent="1"/>
    </xf>
    <xf numFmtId="49" fontId="3" fillId="0" borderId="0" xfId="0" applyNumberFormat="1" applyFont="1" applyAlignment="1">
      <alignment horizontal="left" indent="1"/>
    </xf>
    <xf numFmtId="0" fontId="2" fillId="3" borderId="0" xfId="0" applyFont="1" applyFill="1" applyAlignment="1">
      <alignment horizontal="left" wrapText="1" indent="1"/>
    </xf>
    <xf numFmtId="0" fontId="5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1"/>
    </xf>
    <xf numFmtId="0" fontId="10" fillId="3" borderId="0" xfId="0" applyFont="1" applyFill="1" applyAlignment="1">
      <alignment horizontal="left" wrapText="1" indent="1"/>
    </xf>
    <xf numFmtId="0" fontId="15" fillId="0" borderId="0" xfId="0" applyFont="1" applyAlignment="1">
      <alignment horizontal="left" indent="1"/>
    </xf>
    <xf numFmtId="0" fontId="10" fillId="2" borderId="0" xfId="0" applyFont="1" applyFill="1" applyAlignment="1">
      <alignment horizontal="left" indent="1"/>
    </xf>
    <xf numFmtId="0" fontId="8" fillId="0" borderId="0" xfId="0" applyFont="1" applyAlignment="1">
      <alignment horizontal="left" indent="1"/>
    </xf>
    <xf numFmtId="2" fontId="8" fillId="0" borderId="0" xfId="0" applyNumberFormat="1" applyFont="1"/>
    <xf numFmtId="0" fontId="20" fillId="0" borderId="0" xfId="0" applyFont="1" applyAlignment="1">
      <alignment horizontal="left" vertical="top"/>
    </xf>
    <xf numFmtId="1" fontId="3" fillId="0" borderId="0" xfId="0" applyNumberFormat="1" applyFont="1" applyAlignment="1" applyProtection="1">
      <alignment horizontal="left"/>
      <protection locked="0"/>
    </xf>
    <xf numFmtId="0" fontId="21" fillId="0" borderId="0" xfId="0" applyFont="1" applyAlignment="1">
      <alignment horizontal="left" indent="1"/>
    </xf>
    <xf numFmtId="1" fontId="22" fillId="0" borderId="0" xfId="0" applyNumberFormat="1" applyFont="1" applyAlignment="1" applyProtection="1">
      <alignment horizontal="center"/>
      <protection locked="0"/>
    </xf>
    <xf numFmtId="1" fontId="22" fillId="4" borderId="0" xfId="0" applyNumberFormat="1" applyFont="1" applyFill="1" applyAlignment="1" applyProtection="1">
      <alignment horizontal="center"/>
      <protection locked="0"/>
    </xf>
    <xf numFmtId="164" fontId="8" fillId="0" borderId="0" xfId="0" applyNumberFormat="1" applyFont="1" applyAlignment="1">
      <alignment horizontal="center"/>
    </xf>
    <xf numFmtId="49" fontId="3" fillId="0" borderId="0" xfId="0" applyNumberFormat="1" applyFont="1" applyAlignment="1" applyProtection="1">
      <alignment horizontal="left"/>
      <protection locked="0"/>
    </xf>
    <xf numFmtId="0" fontId="3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/>
    <xf numFmtId="14" fontId="3" fillId="0" borderId="0" xfId="0" applyNumberFormat="1" applyFont="1" applyAlignment="1">
      <alignment horizontal="right" indent="1"/>
    </xf>
    <xf numFmtId="164" fontId="5" fillId="0" borderId="0" xfId="2" applyNumberFormat="1" applyFont="1" applyFill="1" applyAlignment="1">
      <alignment wrapText="1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21CE6-EE5E-4448-91A7-B824266AD2AD}">
  <dimension ref="A1:V83"/>
  <sheetViews>
    <sheetView showGridLines="0" tabSelected="1" zoomScaleNormal="100" workbookViewId="0">
      <selection activeCell="J10" sqref="J10"/>
    </sheetView>
  </sheetViews>
  <sheetFormatPr baseColWidth="10" defaultColWidth="11.5" defaultRowHeight="13"/>
  <cols>
    <col min="1" max="1" width="4.5" style="14" customWidth="1"/>
    <col min="2" max="2" width="17" style="14" customWidth="1"/>
    <col min="3" max="3" width="26.5" style="62" customWidth="1"/>
    <col min="4" max="4" width="17.5" style="14" customWidth="1"/>
    <col min="5" max="5" width="18.33203125" style="14" hidden="1" customWidth="1"/>
    <col min="6" max="16" width="11.5" style="14" customWidth="1"/>
    <col min="17" max="16384" width="11.5" style="14"/>
  </cols>
  <sheetData>
    <row r="1" spans="1:17" ht="12" customHeight="1">
      <c r="A1" s="73" t="s">
        <v>26</v>
      </c>
      <c r="B1" s="73"/>
      <c r="C1" s="73"/>
      <c r="D1" s="73"/>
      <c r="E1" s="73"/>
      <c r="F1" s="73"/>
      <c r="G1" s="73"/>
      <c r="H1" s="73"/>
      <c r="I1" s="73"/>
      <c r="J1" s="73"/>
    </row>
    <row r="2" spans="1:17" ht="12" customHeight="1">
      <c r="A2" s="73"/>
      <c r="B2" s="73"/>
      <c r="C2" s="73"/>
      <c r="D2" s="73"/>
      <c r="E2" s="73"/>
      <c r="F2" s="73"/>
      <c r="G2" s="73"/>
      <c r="H2" s="73"/>
      <c r="I2" s="73"/>
      <c r="J2" s="73"/>
    </row>
    <row r="3" spans="1:17" ht="12" customHeight="1">
      <c r="A3" s="74" t="s">
        <v>155</v>
      </c>
      <c r="B3" s="74"/>
      <c r="C3" s="74">
        <v>8</v>
      </c>
      <c r="D3" s="74"/>
      <c r="E3" s="74"/>
      <c r="F3" s="74"/>
      <c r="G3" s="74"/>
      <c r="H3" s="74"/>
      <c r="I3" s="74"/>
      <c r="J3" s="74"/>
    </row>
    <row r="4" spans="1:17" ht="12" customHeight="1">
      <c r="A4" s="18" t="s">
        <v>27</v>
      </c>
      <c r="B4" s="18"/>
      <c r="C4" s="75">
        <v>46182</v>
      </c>
      <c r="D4" s="19"/>
      <c r="E4" s="1"/>
      <c r="F4" s="20"/>
      <c r="G4" s="20"/>
      <c r="H4" s="1"/>
    </row>
    <row r="5" spans="1:17" ht="12" customHeight="1">
      <c r="A5" s="18" t="s">
        <v>156</v>
      </c>
      <c r="B5" s="18"/>
      <c r="C5" s="52" t="s">
        <v>157</v>
      </c>
      <c r="D5" s="1"/>
      <c r="E5" s="1"/>
      <c r="F5" s="20"/>
      <c r="G5" s="20"/>
      <c r="H5" s="1"/>
    </row>
    <row r="6" spans="1:17" ht="12" customHeight="1">
      <c r="A6" s="18" t="s">
        <v>158</v>
      </c>
      <c r="B6" s="18"/>
      <c r="C6" s="53">
        <f>+F79</f>
        <v>13779</v>
      </c>
      <c r="D6" s="21"/>
      <c r="E6" s="1"/>
      <c r="F6" s="20"/>
      <c r="G6" s="20"/>
      <c r="H6" s="1"/>
    </row>
    <row r="7" spans="1:17" ht="12" customHeight="1">
      <c r="A7" s="18" t="s">
        <v>28</v>
      </c>
      <c r="B7" s="18"/>
      <c r="C7" s="54"/>
      <c r="D7" s="1"/>
      <c r="E7" s="1"/>
      <c r="F7" s="20"/>
      <c r="G7" s="20"/>
      <c r="H7" s="1"/>
      <c r="K7" s="14">
        <v>17495.11</v>
      </c>
      <c r="L7" s="14">
        <v>11667.92</v>
      </c>
    </row>
    <row r="8" spans="1:17" ht="12" customHeight="1">
      <c r="A8" s="18" t="s">
        <v>29</v>
      </c>
      <c r="B8" s="18"/>
      <c r="C8" s="55"/>
      <c r="D8" s="1"/>
      <c r="E8" s="1"/>
      <c r="F8" s="20"/>
      <c r="G8" s="20"/>
      <c r="H8" s="1"/>
    </row>
    <row r="9" spans="1:17" ht="28">
      <c r="A9" s="11" t="s">
        <v>0</v>
      </c>
      <c r="B9" s="7"/>
      <c r="C9" s="56" t="s">
        <v>1</v>
      </c>
      <c r="D9" s="12" t="s">
        <v>2</v>
      </c>
      <c r="E9" s="12" t="s">
        <v>3</v>
      </c>
      <c r="F9" s="7" t="s">
        <v>23</v>
      </c>
      <c r="G9" s="13" t="s">
        <v>24</v>
      </c>
      <c r="H9" s="13" t="s">
        <v>30</v>
      </c>
      <c r="I9" s="12" t="s">
        <v>4</v>
      </c>
      <c r="J9" s="7" t="s">
        <v>5</v>
      </c>
      <c r="K9" s="1"/>
      <c r="L9" s="63"/>
    </row>
    <row r="10" spans="1:17" s="17" customFormat="1" ht="14">
      <c r="A10" s="18" t="s">
        <v>31</v>
      </c>
      <c r="B10" s="18"/>
      <c r="C10" s="57" t="s">
        <v>40</v>
      </c>
      <c r="D10" s="32"/>
      <c r="E10" s="33"/>
      <c r="F10" s="34">
        <v>22281.72</v>
      </c>
      <c r="G10" s="29"/>
      <c r="H10" s="29"/>
      <c r="I10" s="35">
        <f>+F10*J10</f>
        <v>26705.981690221652</v>
      </c>
      <c r="J10" s="36">
        <v>1.1985601511113886</v>
      </c>
      <c r="K10" s="35"/>
      <c r="L10" s="45"/>
      <c r="M10" s="45"/>
      <c r="P10" s="44"/>
    </row>
    <row r="11" spans="1:17">
      <c r="A11" s="18" t="s">
        <v>46</v>
      </c>
      <c r="B11" s="1"/>
      <c r="C11" s="58"/>
      <c r="D11" s="3"/>
      <c r="E11" s="1"/>
      <c r="F11" s="76">
        <v>2050</v>
      </c>
      <c r="G11" s="29"/>
      <c r="H11" s="31"/>
      <c r="I11" s="35">
        <f>+F11*J10</f>
        <v>2457.0483097783467</v>
      </c>
      <c r="J11" s="40"/>
      <c r="K11" s="2"/>
      <c r="P11" s="24"/>
    </row>
    <row r="12" spans="1:17" ht="14">
      <c r="A12" s="1" t="s">
        <v>6</v>
      </c>
      <c r="B12" s="1"/>
      <c r="C12" s="58" t="s">
        <v>7</v>
      </c>
      <c r="D12" s="3" t="s">
        <v>154</v>
      </c>
      <c r="E12" s="1"/>
      <c r="F12" s="38">
        <v>0</v>
      </c>
      <c r="G12" s="28"/>
      <c r="H12" s="22">
        <v>0</v>
      </c>
      <c r="I12" s="37">
        <f>+F12</f>
        <v>0</v>
      </c>
      <c r="J12" s="23"/>
      <c r="K12" s="1"/>
      <c r="L12" s="24"/>
      <c r="Q12" s="24"/>
    </row>
    <row r="13" spans="1:17" ht="14">
      <c r="A13" s="1" t="s">
        <v>8</v>
      </c>
      <c r="B13" s="1"/>
      <c r="C13" s="58" t="s">
        <v>7</v>
      </c>
      <c r="D13" s="3" t="s">
        <v>154</v>
      </c>
      <c r="E13" s="1"/>
      <c r="F13" s="38">
        <v>156.69999999999999</v>
      </c>
      <c r="G13" s="28"/>
      <c r="H13" s="22">
        <v>0</v>
      </c>
      <c r="I13" s="37">
        <f>+F13</f>
        <v>156.69999999999999</v>
      </c>
      <c r="J13" s="23"/>
      <c r="K13" s="1"/>
      <c r="Q13" s="49"/>
    </row>
    <row r="14" spans="1:17" ht="14">
      <c r="A14" s="71" t="s">
        <v>10</v>
      </c>
      <c r="B14" s="71"/>
      <c r="C14" s="58" t="s">
        <v>7</v>
      </c>
      <c r="D14" s="3" t="s">
        <v>154</v>
      </c>
      <c r="E14" s="1"/>
      <c r="F14" s="38">
        <v>4723.76</v>
      </c>
      <c r="G14" s="28"/>
      <c r="H14" s="22">
        <f>+F14</f>
        <v>4723.76</v>
      </c>
      <c r="I14" s="37">
        <v>0</v>
      </c>
      <c r="J14" s="23"/>
      <c r="K14" s="1"/>
    </row>
    <row r="15" spans="1:17" ht="14">
      <c r="A15" s="1" t="s">
        <v>35</v>
      </c>
      <c r="B15" s="1"/>
      <c r="C15" s="58" t="s">
        <v>9</v>
      </c>
      <c r="D15" s="3" t="s">
        <v>143</v>
      </c>
      <c r="E15" s="1"/>
      <c r="F15" s="38">
        <v>802.46</v>
      </c>
      <c r="G15" s="28"/>
      <c r="H15" s="22">
        <v>0</v>
      </c>
      <c r="I15" s="37">
        <f t="shared" ref="I15:I28" si="0">+F15</f>
        <v>802.46</v>
      </c>
      <c r="J15" s="23"/>
      <c r="K15" s="1"/>
    </row>
    <row r="16" spans="1:17" ht="14">
      <c r="A16" s="1" t="s">
        <v>34</v>
      </c>
      <c r="B16" s="1"/>
      <c r="C16" s="58" t="s">
        <v>9</v>
      </c>
      <c r="D16" s="3"/>
      <c r="E16" s="1"/>
      <c r="F16" s="38">
        <v>10</v>
      </c>
      <c r="G16" s="28"/>
      <c r="H16" s="22">
        <v>0</v>
      </c>
      <c r="I16" s="37">
        <f t="shared" si="0"/>
        <v>10</v>
      </c>
      <c r="J16" s="23"/>
      <c r="K16" s="1"/>
    </row>
    <row r="17" spans="1:22" ht="14">
      <c r="A17" s="1" t="s">
        <v>49</v>
      </c>
      <c r="B17" s="1"/>
      <c r="C17" s="58" t="s">
        <v>48</v>
      </c>
      <c r="D17" s="3"/>
      <c r="E17" s="1"/>
      <c r="F17" s="38"/>
      <c r="G17" s="28"/>
      <c r="H17" s="22">
        <v>0</v>
      </c>
      <c r="I17" s="37">
        <f>+F17</f>
        <v>0</v>
      </c>
      <c r="J17" s="23"/>
      <c r="K17" s="1"/>
    </row>
    <row r="18" spans="1:22" ht="14">
      <c r="A18" s="1" t="s">
        <v>49</v>
      </c>
      <c r="B18" s="1"/>
      <c r="C18" s="58" t="s">
        <v>48</v>
      </c>
      <c r="D18" s="3"/>
      <c r="E18" s="1"/>
      <c r="F18" s="38"/>
      <c r="G18" s="28"/>
      <c r="H18" s="22">
        <v>0</v>
      </c>
      <c r="I18" s="37">
        <f>+F18</f>
        <v>0</v>
      </c>
      <c r="J18" s="23"/>
      <c r="K18" s="1"/>
    </row>
    <row r="19" spans="1:22" ht="14">
      <c r="A19" s="1" t="s">
        <v>45</v>
      </c>
      <c r="B19" s="1"/>
      <c r="C19" s="58" t="s">
        <v>44</v>
      </c>
      <c r="D19" s="3" t="s">
        <v>144</v>
      </c>
      <c r="E19" s="1"/>
      <c r="F19" s="38">
        <v>156.5</v>
      </c>
      <c r="G19" s="30"/>
      <c r="H19" s="22">
        <f>+F19*15%</f>
        <v>23.474999999999998</v>
      </c>
      <c r="I19" s="37">
        <f t="shared" si="0"/>
        <v>156.5</v>
      </c>
      <c r="J19" s="23"/>
      <c r="K19" s="1"/>
    </row>
    <row r="20" spans="1:22" ht="14">
      <c r="A20" s="1" t="s">
        <v>43</v>
      </c>
      <c r="C20" s="58" t="s">
        <v>38</v>
      </c>
      <c r="D20" s="3" t="s">
        <v>153</v>
      </c>
      <c r="E20" s="1"/>
      <c r="F20" s="38">
        <v>290</v>
      </c>
      <c r="G20" s="25"/>
      <c r="H20" s="22">
        <f t="shared" ref="H20:H27" si="1">+F20*15%</f>
        <v>43.5</v>
      </c>
      <c r="I20" s="37">
        <f t="shared" si="0"/>
        <v>290</v>
      </c>
      <c r="J20" s="23"/>
      <c r="K20" s="1"/>
    </row>
    <row r="21" spans="1:22" ht="14">
      <c r="A21" s="14" t="s">
        <v>39</v>
      </c>
      <c r="C21" s="58" t="s">
        <v>38</v>
      </c>
      <c r="D21" s="3" t="s">
        <v>153</v>
      </c>
      <c r="E21" s="1"/>
      <c r="F21" s="38">
        <v>210.99</v>
      </c>
      <c r="G21" s="25"/>
      <c r="H21" s="22">
        <f t="shared" si="1"/>
        <v>31.648499999999999</v>
      </c>
      <c r="I21" s="37">
        <f t="shared" si="0"/>
        <v>210.99</v>
      </c>
      <c r="J21" s="23"/>
      <c r="K21" s="1"/>
    </row>
    <row r="22" spans="1:22" ht="14">
      <c r="A22" s="1" t="s">
        <v>42</v>
      </c>
      <c r="B22" s="1"/>
      <c r="C22" s="58" t="s">
        <v>38</v>
      </c>
      <c r="D22" s="3" t="s">
        <v>153</v>
      </c>
      <c r="E22" s="1"/>
      <c r="F22" s="38">
        <v>720</v>
      </c>
      <c r="G22" s="22"/>
      <c r="H22" s="22">
        <f t="shared" si="1"/>
        <v>108</v>
      </c>
      <c r="I22" s="37">
        <f t="shared" si="0"/>
        <v>720</v>
      </c>
      <c r="J22" s="23"/>
      <c r="K22" s="1"/>
      <c r="L22" s="3"/>
      <c r="M22" s="3"/>
    </row>
    <row r="23" spans="1:22" ht="14">
      <c r="A23" s="1" t="s">
        <v>146</v>
      </c>
      <c r="B23" s="1"/>
      <c r="C23" s="58" t="s">
        <v>145</v>
      </c>
      <c r="D23" s="3" t="s">
        <v>151</v>
      </c>
      <c r="E23" s="1"/>
      <c r="F23" s="38">
        <v>103.22</v>
      </c>
      <c r="G23" s="22"/>
      <c r="H23" s="22">
        <f t="shared" si="1"/>
        <v>15.482999999999999</v>
      </c>
      <c r="I23" s="37">
        <f t="shared" si="0"/>
        <v>103.22</v>
      </c>
      <c r="J23" s="23"/>
      <c r="K23" s="1"/>
      <c r="L23" s="3"/>
      <c r="M23" s="3"/>
    </row>
    <row r="24" spans="1:22" ht="14">
      <c r="A24" s="14" t="s">
        <v>147</v>
      </c>
      <c r="C24" s="58" t="s">
        <v>145</v>
      </c>
      <c r="D24" s="3" t="s">
        <v>151</v>
      </c>
      <c r="E24" s="1"/>
      <c r="F24" s="38">
        <v>154.84</v>
      </c>
      <c r="G24" s="22"/>
      <c r="H24" s="22">
        <f t="shared" si="1"/>
        <v>23.225999999999999</v>
      </c>
      <c r="I24" s="37">
        <f t="shared" ref="I24:I26" si="2">+F24</f>
        <v>154.84</v>
      </c>
      <c r="J24" s="23"/>
      <c r="K24" s="1"/>
      <c r="L24" s="3"/>
      <c r="M24" s="3"/>
    </row>
    <row r="25" spans="1:22" ht="14">
      <c r="A25" s="1" t="s">
        <v>148</v>
      </c>
      <c r="B25" s="1"/>
      <c r="C25" s="58" t="s">
        <v>145</v>
      </c>
      <c r="D25" s="3" t="s">
        <v>151</v>
      </c>
      <c r="E25" s="1"/>
      <c r="F25" s="38">
        <v>258.06</v>
      </c>
      <c r="G25" s="22"/>
      <c r="H25" s="22">
        <f t="shared" si="1"/>
        <v>38.708999999999996</v>
      </c>
      <c r="I25" s="37">
        <f t="shared" si="2"/>
        <v>258.06</v>
      </c>
      <c r="J25" s="23"/>
      <c r="K25" s="1"/>
      <c r="L25" s="3"/>
      <c r="M25" s="3"/>
    </row>
    <row r="26" spans="1:22" ht="14">
      <c r="A26" s="1" t="s">
        <v>149</v>
      </c>
      <c r="B26" s="1"/>
      <c r="C26" s="58" t="s">
        <v>145</v>
      </c>
      <c r="D26" s="3" t="s">
        <v>151</v>
      </c>
      <c r="E26" s="1"/>
      <c r="F26" s="38">
        <v>55</v>
      </c>
      <c r="G26" s="22"/>
      <c r="H26" s="22">
        <f t="shared" si="1"/>
        <v>8.25</v>
      </c>
      <c r="I26" s="37">
        <f t="shared" si="2"/>
        <v>55</v>
      </c>
      <c r="J26" s="23"/>
      <c r="K26" s="1"/>
      <c r="L26" s="3"/>
      <c r="M26" s="3"/>
    </row>
    <row r="27" spans="1:22" ht="14">
      <c r="A27" s="14" t="s">
        <v>150</v>
      </c>
      <c r="C27" s="58" t="s">
        <v>145</v>
      </c>
      <c r="D27" s="3" t="s">
        <v>151</v>
      </c>
      <c r="E27" s="1"/>
      <c r="F27" s="39">
        <f>86.02+30+20+50+86.02+35+10</f>
        <v>317.03999999999996</v>
      </c>
      <c r="G27" s="28"/>
      <c r="H27" s="22">
        <f t="shared" si="1"/>
        <v>47.55599999999999</v>
      </c>
      <c r="I27" s="37">
        <f t="shared" si="0"/>
        <v>317.03999999999996</v>
      </c>
      <c r="J27" s="23" t="s">
        <v>11</v>
      </c>
      <c r="K27" s="1"/>
    </row>
    <row r="28" spans="1:22" ht="14">
      <c r="A28" s="14" t="s">
        <v>150</v>
      </c>
      <c r="C28" s="58" t="s">
        <v>145</v>
      </c>
      <c r="D28" s="3" t="s">
        <v>152</v>
      </c>
      <c r="E28" s="1"/>
      <c r="F28" s="39">
        <v>45</v>
      </c>
      <c r="G28" s="28"/>
      <c r="H28" s="22">
        <f t="shared" ref="H28" si="3">+F28*15%</f>
        <v>6.75</v>
      </c>
      <c r="I28" s="37">
        <f t="shared" si="0"/>
        <v>45</v>
      </c>
      <c r="J28" s="23"/>
      <c r="K28" s="1"/>
    </row>
    <row r="29" spans="1:22">
      <c r="A29" s="72" t="s">
        <v>12</v>
      </c>
      <c r="B29" s="72"/>
      <c r="C29" s="72"/>
      <c r="D29" s="72"/>
      <c r="E29" s="72"/>
      <c r="F29" s="8">
        <f>+F10+F11</f>
        <v>24331.72</v>
      </c>
      <c r="G29" s="8"/>
      <c r="H29" s="8">
        <f>SUM(H10:H27)</f>
        <v>5063.6075000000001</v>
      </c>
      <c r="I29" s="9">
        <f>I10+I11</f>
        <v>29163.03</v>
      </c>
      <c r="J29" s="9">
        <f>+SUM(I12:I28)</f>
        <v>3279.81</v>
      </c>
      <c r="K29" s="10"/>
      <c r="N29" s="24"/>
    </row>
    <row r="32" spans="1:22" s="4" customFormat="1" ht="42">
      <c r="A32" s="5" t="s">
        <v>25</v>
      </c>
      <c r="B32" s="5" t="s">
        <v>13</v>
      </c>
      <c r="C32" s="59" t="s">
        <v>14</v>
      </c>
      <c r="D32" s="5" t="s">
        <v>15</v>
      </c>
      <c r="E32" s="5" t="s">
        <v>32</v>
      </c>
      <c r="F32" s="5" t="s">
        <v>33</v>
      </c>
      <c r="G32" s="6" t="s">
        <v>17</v>
      </c>
      <c r="H32" s="5" t="s">
        <v>16</v>
      </c>
      <c r="I32" s="5" t="s">
        <v>36</v>
      </c>
      <c r="J32" s="5" t="s">
        <v>47</v>
      </c>
      <c r="K32" s="5" t="s">
        <v>16</v>
      </c>
      <c r="L32" s="6" t="s">
        <v>37</v>
      </c>
      <c r="M32" s="6" t="s">
        <v>18</v>
      </c>
      <c r="N32" s="5" t="s">
        <v>19</v>
      </c>
      <c r="O32" s="5" t="s">
        <v>21</v>
      </c>
      <c r="P32" s="5" t="s">
        <v>22</v>
      </c>
      <c r="Q32" s="5" t="s">
        <v>20</v>
      </c>
      <c r="U32" s="27"/>
      <c r="V32" s="27"/>
    </row>
    <row r="33" spans="1:17">
      <c r="A33" s="14">
        <v>1</v>
      </c>
      <c r="B33" s="64" t="s">
        <v>50</v>
      </c>
      <c r="C33" s="65">
        <v>1811</v>
      </c>
      <c r="D33" s="66" t="s">
        <v>85</v>
      </c>
      <c r="E33" s="67" t="s">
        <v>83</v>
      </c>
      <c r="F33" s="68">
        <v>120</v>
      </c>
      <c r="G33" s="69">
        <v>475.2</v>
      </c>
      <c r="H33" s="43">
        <f>+G33/F33</f>
        <v>3.96</v>
      </c>
      <c r="I33" s="41">
        <f t="shared" ref="I33:I77" si="4">+F33/F$79</f>
        <v>8.7089048552144565E-3</v>
      </c>
      <c r="J33" s="41">
        <f>+F$11*I33</f>
        <v>17.853254953189637</v>
      </c>
      <c r="K33" s="41">
        <f>+(G33+J33)/F33</f>
        <v>4.1087771246099134</v>
      </c>
      <c r="L33" s="43">
        <f>+F33*K33</f>
        <v>493.05325495318959</v>
      </c>
      <c r="M33" s="42">
        <f>+L33*J$10</f>
        <v>590.95398376265689</v>
      </c>
      <c r="N33" s="42">
        <f>+J$29*I33</f>
        <v>28.563553233180926</v>
      </c>
      <c r="O33" s="42">
        <f t="shared" ref="O33:O64" si="5">+N33/F33</f>
        <v>0.23802961027650771</v>
      </c>
      <c r="P33" s="42">
        <f>+M33+N33</f>
        <v>619.51753699583787</v>
      </c>
      <c r="Q33" s="46">
        <f t="shared" ref="Q33:Q64" si="6">+P33/F33</f>
        <v>5.1626461416319822</v>
      </c>
    </row>
    <row r="34" spans="1:17">
      <c r="A34" s="14">
        <v>2</v>
      </c>
      <c r="B34" s="64" t="s">
        <v>51</v>
      </c>
      <c r="C34" s="65">
        <v>1829</v>
      </c>
      <c r="D34" s="66" t="s">
        <v>86</v>
      </c>
      <c r="E34" s="67" t="s">
        <v>83</v>
      </c>
      <c r="F34" s="68">
        <v>120</v>
      </c>
      <c r="G34" s="69">
        <v>691.19999999999993</v>
      </c>
      <c r="H34" s="43">
        <f t="shared" ref="H34:H69" si="7">+G34/F34</f>
        <v>5.76</v>
      </c>
      <c r="I34" s="41">
        <f t="shared" si="4"/>
        <v>8.7089048552144565E-3</v>
      </c>
      <c r="J34" s="41">
        <f t="shared" ref="J34:J69" si="8">+F$11*I34</f>
        <v>17.853254953189637</v>
      </c>
      <c r="K34" s="41">
        <f t="shared" ref="K34:K69" si="9">+(G34+J34)/F34</f>
        <v>5.9087771246099132</v>
      </c>
      <c r="L34" s="43">
        <f t="shared" ref="L34:L69" si="10">+F34*K34</f>
        <v>709.05325495318959</v>
      </c>
      <c r="M34" s="42">
        <f t="shared" ref="M34:M69" si="11">+L34*J$10</f>
        <v>849.84297640271689</v>
      </c>
      <c r="N34" s="42">
        <f>+J$29*I34</f>
        <v>28.563553233180926</v>
      </c>
      <c r="O34" s="42">
        <f t="shared" si="5"/>
        <v>0.23802961027650771</v>
      </c>
      <c r="P34" s="42">
        <f t="shared" ref="P34:P69" si="12">+M34+N34</f>
        <v>878.40652963589787</v>
      </c>
      <c r="Q34" s="46">
        <f t="shared" si="6"/>
        <v>7.3200544136324819</v>
      </c>
    </row>
    <row r="35" spans="1:17">
      <c r="A35" s="14">
        <v>3</v>
      </c>
      <c r="B35" s="64" t="s">
        <v>52</v>
      </c>
      <c r="C35" s="65">
        <v>1852</v>
      </c>
      <c r="D35" s="66" t="s">
        <v>87</v>
      </c>
      <c r="E35" s="67" t="s">
        <v>83</v>
      </c>
      <c r="F35" s="68">
        <v>180</v>
      </c>
      <c r="G35" s="69">
        <v>777.6</v>
      </c>
      <c r="H35" s="43">
        <f t="shared" si="7"/>
        <v>4.32</v>
      </c>
      <c r="I35" s="41">
        <f t="shared" si="4"/>
        <v>1.3063357282821686E-2</v>
      </c>
      <c r="J35" s="41">
        <f t="shared" si="8"/>
        <v>26.779882429784454</v>
      </c>
      <c r="K35" s="41">
        <f t="shared" si="9"/>
        <v>4.4687771246099137</v>
      </c>
      <c r="L35" s="43">
        <f t="shared" si="10"/>
        <v>804.37988242978452</v>
      </c>
      <c r="M35" s="42">
        <f t="shared" si="11"/>
        <v>964.09767343600356</v>
      </c>
      <c r="N35" s="42">
        <f t="shared" ref="N35:N69" si="13">+J$29*I35</f>
        <v>42.845329849771389</v>
      </c>
      <c r="O35" s="42">
        <f t="shared" si="5"/>
        <v>0.23802961027650771</v>
      </c>
      <c r="P35" s="42">
        <f t="shared" si="12"/>
        <v>1006.9430032857749</v>
      </c>
      <c r="Q35" s="46">
        <f t="shared" si="6"/>
        <v>5.5941277960320832</v>
      </c>
    </row>
    <row r="36" spans="1:17">
      <c r="A36" s="14">
        <v>4</v>
      </c>
      <c r="B36" s="64" t="s">
        <v>53</v>
      </c>
      <c r="C36" s="65">
        <v>1866</v>
      </c>
      <c r="D36" s="66" t="s">
        <v>80</v>
      </c>
      <c r="E36" s="67" t="s">
        <v>83</v>
      </c>
      <c r="F36" s="68">
        <v>120</v>
      </c>
      <c r="G36" s="69">
        <v>518.40000000000009</v>
      </c>
      <c r="H36" s="43">
        <f t="shared" si="7"/>
        <v>4.3200000000000012</v>
      </c>
      <c r="I36" s="41">
        <f t="shared" si="4"/>
        <v>8.7089048552144565E-3</v>
      </c>
      <c r="J36" s="41">
        <f t="shared" si="8"/>
        <v>17.853254953189637</v>
      </c>
      <c r="K36" s="41">
        <f t="shared" si="9"/>
        <v>4.4687771246099146</v>
      </c>
      <c r="L36" s="43">
        <f t="shared" si="10"/>
        <v>536.25325495318975</v>
      </c>
      <c r="M36" s="42">
        <f t="shared" si="11"/>
        <v>642.73178229066912</v>
      </c>
      <c r="N36" s="42">
        <f t="shared" si="13"/>
        <v>28.563553233180926</v>
      </c>
      <c r="O36" s="42">
        <f t="shared" si="5"/>
        <v>0.23802961027650771</v>
      </c>
      <c r="P36" s="42">
        <f t="shared" si="12"/>
        <v>671.2953355238501</v>
      </c>
      <c r="Q36" s="46">
        <f t="shared" si="6"/>
        <v>5.5941277960320841</v>
      </c>
    </row>
    <row r="37" spans="1:17">
      <c r="A37" s="14">
        <v>5</v>
      </c>
      <c r="B37" s="64" t="s">
        <v>54</v>
      </c>
      <c r="C37" s="65">
        <v>1868</v>
      </c>
      <c r="D37" s="66" t="s">
        <v>88</v>
      </c>
      <c r="E37" s="67" t="s">
        <v>83</v>
      </c>
      <c r="F37" s="68">
        <v>240</v>
      </c>
      <c r="G37" s="69">
        <v>1209.5999999999999</v>
      </c>
      <c r="H37" s="43">
        <f t="shared" si="7"/>
        <v>5.04</v>
      </c>
      <c r="I37" s="41">
        <f t="shared" si="4"/>
        <v>1.7417809710428913E-2</v>
      </c>
      <c r="J37" s="41">
        <f t="shared" si="8"/>
        <v>35.706509906379274</v>
      </c>
      <c r="K37" s="41">
        <f t="shared" si="9"/>
        <v>5.1887771246099135</v>
      </c>
      <c r="L37" s="43">
        <f t="shared" si="10"/>
        <v>1245.3065099063792</v>
      </c>
      <c r="M37" s="42">
        <f t="shared" si="11"/>
        <v>1492.5747586933858</v>
      </c>
      <c r="N37" s="42">
        <f t="shared" si="13"/>
        <v>57.127106466361852</v>
      </c>
      <c r="O37" s="42">
        <f t="shared" si="5"/>
        <v>0.23802961027650771</v>
      </c>
      <c r="P37" s="42">
        <f t="shared" si="12"/>
        <v>1549.7018651597477</v>
      </c>
      <c r="Q37" s="46">
        <f t="shared" si="6"/>
        <v>6.4570911048322825</v>
      </c>
    </row>
    <row r="38" spans="1:17">
      <c r="A38" s="14">
        <v>6</v>
      </c>
      <c r="B38" s="64" t="s">
        <v>124</v>
      </c>
      <c r="C38" s="65">
        <v>15019</v>
      </c>
      <c r="D38" s="66" t="s">
        <v>89</v>
      </c>
      <c r="E38" s="67" t="s">
        <v>83</v>
      </c>
      <c r="F38" s="68">
        <v>300</v>
      </c>
      <c r="G38" s="69">
        <v>498</v>
      </c>
      <c r="H38" s="43">
        <f t="shared" si="7"/>
        <v>1.66</v>
      </c>
      <c r="I38" s="41">
        <f t="shared" si="4"/>
        <v>2.1772262138036142E-2</v>
      </c>
      <c r="J38" s="41">
        <f t="shared" si="8"/>
        <v>44.633137382974091</v>
      </c>
      <c r="K38" s="41">
        <f t="shared" si="9"/>
        <v>1.8087771246099136</v>
      </c>
      <c r="L38" s="43">
        <f t="shared" si="10"/>
        <v>542.63313738297404</v>
      </c>
      <c r="M38" s="42">
        <f t="shared" si="11"/>
        <v>650.37845513978425</v>
      </c>
      <c r="N38" s="42">
        <f t="shared" si="13"/>
        <v>71.408883082952315</v>
      </c>
      <c r="O38" s="42">
        <f t="shared" si="5"/>
        <v>0.23802961027650771</v>
      </c>
      <c r="P38" s="42">
        <f t="shared" si="12"/>
        <v>721.78733822273659</v>
      </c>
      <c r="Q38" s="46">
        <f t="shared" si="6"/>
        <v>2.4059577940757886</v>
      </c>
    </row>
    <row r="39" spans="1:17">
      <c r="A39" s="14">
        <v>7</v>
      </c>
      <c r="B39" s="64" t="s">
        <v>125</v>
      </c>
      <c r="C39" s="65">
        <v>15025</v>
      </c>
      <c r="D39" s="66" t="s">
        <v>90</v>
      </c>
      <c r="E39" s="67" t="s">
        <v>83</v>
      </c>
      <c r="F39" s="68">
        <v>960</v>
      </c>
      <c r="G39" s="69">
        <v>2265.6</v>
      </c>
      <c r="H39" s="43">
        <f t="shared" si="7"/>
        <v>2.36</v>
      </c>
      <c r="I39" s="41">
        <f t="shared" si="4"/>
        <v>6.9671238841715652E-2</v>
      </c>
      <c r="J39" s="41">
        <f t="shared" si="8"/>
        <v>142.8260396255171</v>
      </c>
      <c r="K39" s="41">
        <f t="shared" si="9"/>
        <v>2.5087771246099138</v>
      </c>
      <c r="L39" s="43">
        <f t="shared" si="10"/>
        <v>2408.4260396255172</v>
      </c>
      <c r="M39" s="42">
        <f t="shared" si="11"/>
        <v>2886.6434779941628</v>
      </c>
      <c r="N39" s="42">
        <f t="shared" si="13"/>
        <v>228.50842586544741</v>
      </c>
      <c r="O39" s="42">
        <f t="shared" si="5"/>
        <v>0.23802961027650771</v>
      </c>
      <c r="P39" s="42">
        <f t="shared" si="12"/>
        <v>3115.1519038596102</v>
      </c>
      <c r="Q39" s="46">
        <f t="shared" si="6"/>
        <v>3.2449498998537605</v>
      </c>
    </row>
    <row r="40" spans="1:17">
      <c r="A40" s="14">
        <v>8</v>
      </c>
      <c r="B40" s="64" t="s">
        <v>126</v>
      </c>
      <c r="C40" s="65">
        <v>15026</v>
      </c>
      <c r="D40" s="66" t="s">
        <v>91</v>
      </c>
      <c r="E40" s="67" t="s">
        <v>83</v>
      </c>
      <c r="F40" s="68">
        <v>600</v>
      </c>
      <c r="G40" s="69">
        <v>1416</v>
      </c>
      <c r="H40" s="43">
        <f t="shared" si="7"/>
        <v>2.36</v>
      </c>
      <c r="I40" s="41">
        <f t="shared" si="4"/>
        <v>4.3544524276072284E-2</v>
      </c>
      <c r="J40" s="41">
        <f t="shared" si="8"/>
        <v>89.266274765948182</v>
      </c>
      <c r="K40" s="41">
        <f t="shared" si="9"/>
        <v>2.5087771246099133</v>
      </c>
      <c r="L40" s="43">
        <f t="shared" si="10"/>
        <v>1505.2662747659481</v>
      </c>
      <c r="M40" s="42">
        <f t="shared" si="11"/>
        <v>1804.1521737463518</v>
      </c>
      <c r="N40" s="42">
        <f t="shared" si="13"/>
        <v>142.81776616590463</v>
      </c>
      <c r="O40" s="42">
        <f t="shared" si="5"/>
        <v>0.23802961027650771</v>
      </c>
      <c r="P40" s="42">
        <f t="shared" si="12"/>
        <v>1946.9699399122565</v>
      </c>
      <c r="Q40" s="46">
        <f t="shared" si="6"/>
        <v>3.2449498998537609</v>
      </c>
    </row>
    <row r="41" spans="1:17">
      <c r="A41" s="14">
        <v>9</v>
      </c>
      <c r="B41" s="64" t="s">
        <v>55</v>
      </c>
      <c r="C41" s="65">
        <v>15037</v>
      </c>
      <c r="D41" s="66" t="s">
        <v>92</v>
      </c>
      <c r="E41" s="67" t="s">
        <v>83</v>
      </c>
      <c r="F41" s="68">
        <v>204</v>
      </c>
      <c r="G41" s="69">
        <v>322.32</v>
      </c>
      <c r="H41" s="43">
        <f t="shared" si="7"/>
        <v>1.58</v>
      </c>
      <c r="I41" s="41">
        <f t="shared" si="4"/>
        <v>1.4805138253864576E-2</v>
      </c>
      <c r="J41" s="41">
        <f t="shared" si="8"/>
        <v>30.35053342042238</v>
      </c>
      <c r="K41" s="41">
        <f t="shared" si="9"/>
        <v>1.7287771246099135</v>
      </c>
      <c r="L41" s="43">
        <f t="shared" si="10"/>
        <v>352.67053342042237</v>
      </c>
      <c r="M41" s="42">
        <f t="shared" si="11"/>
        <v>422.69684782891545</v>
      </c>
      <c r="N41" s="42">
        <f t="shared" si="13"/>
        <v>48.558040496407571</v>
      </c>
      <c r="O41" s="42">
        <f t="shared" si="5"/>
        <v>0.23802961027650771</v>
      </c>
      <c r="P41" s="42">
        <f t="shared" si="12"/>
        <v>471.25488832532301</v>
      </c>
      <c r="Q41" s="46">
        <f t="shared" si="6"/>
        <v>2.3100729819868775</v>
      </c>
    </row>
    <row r="42" spans="1:17">
      <c r="A42" s="14">
        <v>10</v>
      </c>
      <c r="B42" s="64" t="s">
        <v>127</v>
      </c>
      <c r="C42" s="65">
        <v>15095</v>
      </c>
      <c r="D42" s="66" t="s">
        <v>93</v>
      </c>
      <c r="E42" s="67" t="s">
        <v>83</v>
      </c>
      <c r="F42" s="68">
        <v>300</v>
      </c>
      <c r="G42" s="69">
        <v>498</v>
      </c>
      <c r="H42" s="43">
        <f t="shared" si="7"/>
        <v>1.66</v>
      </c>
      <c r="I42" s="41">
        <f t="shared" si="4"/>
        <v>2.1772262138036142E-2</v>
      </c>
      <c r="J42" s="41">
        <f t="shared" si="8"/>
        <v>44.633137382974091</v>
      </c>
      <c r="K42" s="41">
        <f t="shared" si="9"/>
        <v>1.8087771246099136</v>
      </c>
      <c r="L42" s="43">
        <f t="shared" si="10"/>
        <v>542.63313738297404</v>
      </c>
      <c r="M42" s="42">
        <f t="shared" si="11"/>
        <v>650.37845513978425</v>
      </c>
      <c r="N42" s="42">
        <f t="shared" si="13"/>
        <v>71.408883082952315</v>
      </c>
      <c r="O42" s="42">
        <f t="shared" si="5"/>
        <v>0.23802961027650771</v>
      </c>
      <c r="P42" s="42">
        <f t="shared" si="12"/>
        <v>721.78733822273659</v>
      </c>
      <c r="Q42" s="46">
        <f t="shared" si="6"/>
        <v>2.4059577940757886</v>
      </c>
    </row>
    <row r="43" spans="1:17">
      <c r="A43" s="14">
        <v>11</v>
      </c>
      <c r="B43" s="64" t="s">
        <v>56</v>
      </c>
      <c r="C43" s="65">
        <v>15174</v>
      </c>
      <c r="D43" s="66" t="s">
        <v>94</v>
      </c>
      <c r="E43" s="67" t="s">
        <v>83</v>
      </c>
      <c r="F43" s="68">
        <v>120</v>
      </c>
      <c r="G43" s="69">
        <v>237.6</v>
      </c>
      <c r="H43" s="43">
        <f t="shared" si="7"/>
        <v>1.98</v>
      </c>
      <c r="I43" s="41">
        <f t="shared" si="4"/>
        <v>8.7089048552144565E-3</v>
      </c>
      <c r="J43" s="41">
        <f t="shared" si="8"/>
        <v>17.853254953189637</v>
      </c>
      <c r="K43" s="41">
        <f t="shared" si="9"/>
        <v>2.1287771246099134</v>
      </c>
      <c r="L43" s="43">
        <f t="shared" si="10"/>
        <v>255.4532549531896</v>
      </c>
      <c r="M43" s="42">
        <f t="shared" si="11"/>
        <v>306.17609185859101</v>
      </c>
      <c r="N43" s="42">
        <f t="shared" si="13"/>
        <v>28.563553233180926</v>
      </c>
      <c r="O43" s="42">
        <f t="shared" si="5"/>
        <v>0.23802961027650771</v>
      </c>
      <c r="P43" s="42">
        <f t="shared" si="12"/>
        <v>334.73964509177193</v>
      </c>
      <c r="Q43" s="46">
        <f t="shared" si="6"/>
        <v>2.7894970424314329</v>
      </c>
    </row>
    <row r="44" spans="1:17">
      <c r="A44" s="14">
        <v>12</v>
      </c>
      <c r="B44" s="64" t="s">
        <v>57</v>
      </c>
      <c r="C44" s="65">
        <v>15179</v>
      </c>
      <c r="D44" s="66" t="s">
        <v>95</v>
      </c>
      <c r="E44" s="67" t="s">
        <v>83</v>
      </c>
      <c r="F44" s="68">
        <v>240</v>
      </c>
      <c r="G44" s="69">
        <v>436.8</v>
      </c>
      <c r="H44" s="43">
        <f t="shared" si="7"/>
        <v>1.82</v>
      </c>
      <c r="I44" s="41">
        <f t="shared" si="4"/>
        <v>1.7417809710428913E-2</v>
      </c>
      <c r="J44" s="41">
        <f t="shared" si="8"/>
        <v>35.706509906379274</v>
      </c>
      <c r="K44" s="41">
        <f t="shared" si="9"/>
        <v>1.9687771246099137</v>
      </c>
      <c r="L44" s="43">
        <f t="shared" si="10"/>
        <v>472.50650990637928</v>
      </c>
      <c r="M44" s="42">
        <f t="shared" si="11"/>
        <v>566.32747391450482</v>
      </c>
      <c r="N44" s="42">
        <f t="shared" si="13"/>
        <v>57.127106466361852</v>
      </c>
      <c r="O44" s="42">
        <f t="shared" si="5"/>
        <v>0.23802961027650771</v>
      </c>
      <c r="P44" s="42">
        <f t="shared" si="12"/>
        <v>623.45458038086667</v>
      </c>
      <c r="Q44" s="46">
        <f t="shared" si="6"/>
        <v>2.5977274182536112</v>
      </c>
    </row>
    <row r="45" spans="1:17">
      <c r="A45" s="14">
        <v>13</v>
      </c>
      <c r="B45" s="64" t="s">
        <v>58</v>
      </c>
      <c r="C45" s="65">
        <v>15181</v>
      </c>
      <c r="D45" s="66" t="s">
        <v>95</v>
      </c>
      <c r="E45" s="67" t="s">
        <v>83</v>
      </c>
      <c r="F45" s="68">
        <v>180</v>
      </c>
      <c r="G45" s="69">
        <v>327.60000000000002</v>
      </c>
      <c r="H45" s="43">
        <f t="shared" si="7"/>
        <v>1.82</v>
      </c>
      <c r="I45" s="41">
        <f t="shared" si="4"/>
        <v>1.3063357282821686E-2</v>
      </c>
      <c r="J45" s="41">
        <f t="shared" si="8"/>
        <v>26.779882429784454</v>
      </c>
      <c r="K45" s="41">
        <f t="shared" si="9"/>
        <v>1.9687771246099137</v>
      </c>
      <c r="L45" s="43">
        <f t="shared" si="10"/>
        <v>354.37988242978446</v>
      </c>
      <c r="M45" s="42">
        <f t="shared" si="11"/>
        <v>424.74560543587859</v>
      </c>
      <c r="N45" s="42">
        <f t="shared" si="13"/>
        <v>42.845329849771389</v>
      </c>
      <c r="O45" s="42">
        <f t="shared" si="5"/>
        <v>0.23802961027650771</v>
      </c>
      <c r="P45" s="42">
        <f t="shared" si="12"/>
        <v>467.59093528564995</v>
      </c>
      <c r="Q45" s="46">
        <f t="shared" si="6"/>
        <v>2.5977274182536108</v>
      </c>
    </row>
    <row r="46" spans="1:17">
      <c r="A46" s="14">
        <v>14</v>
      </c>
      <c r="B46" s="64" t="s">
        <v>59</v>
      </c>
      <c r="C46" s="65" t="s">
        <v>60</v>
      </c>
      <c r="D46" s="66" t="s">
        <v>96</v>
      </c>
      <c r="E46" s="67" t="s">
        <v>83</v>
      </c>
      <c r="F46" s="68">
        <v>612</v>
      </c>
      <c r="G46" s="69">
        <v>599.76</v>
      </c>
      <c r="H46" s="43">
        <f t="shared" si="7"/>
        <v>0.98</v>
      </c>
      <c r="I46" s="41">
        <f t="shared" si="4"/>
        <v>4.4415414761593733E-2</v>
      </c>
      <c r="J46" s="41">
        <f t="shared" si="8"/>
        <v>91.051600261267154</v>
      </c>
      <c r="K46" s="41">
        <f t="shared" si="9"/>
        <v>1.1287771246099136</v>
      </c>
      <c r="L46" s="43">
        <f t="shared" si="10"/>
        <v>690.81160026126713</v>
      </c>
      <c r="M46" s="42">
        <f t="shared" si="11"/>
        <v>827.97925599864448</v>
      </c>
      <c r="N46" s="42">
        <f t="shared" si="13"/>
        <v>145.67412148922273</v>
      </c>
      <c r="O46" s="42">
        <f t="shared" si="5"/>
        <v>0.23802961027650774</v>
      </c>
      <c r="P46" s="42">
        <f t="shared" si="12"/>
        <v>973.65337748786715</v>
      </c>
      <c r="Q46" s="46">
        <f t="shared" si="6"/>
        <v>1.5909368913200443</v>
      </c>
    </row>
    <row r="47" spans="1:17">
      <c r="A47" s="14">
        <v>15</v>
      </c>
      <c r="B47" s="64" t="s">
        <v>128</v>
      </c>
      <c r="C47" s="65">
        <v>15197</v>
      </c>
      <c r="D47" s="66" t="s">
        <v>97</v>
      </c>
      <c r="E47" s="67" t="s">
        <v>83</v>
      </c>
      <c r="F47" s="68">
        <v>456</v>
      </c>
      <c r="G47" s="69">
        <v>638.4</v>
      </c>
      <c r="H47" s="43">
        <f t="shared" si="7"/>
        <v>1.4</v>
      </c>
      <c r="I47" s="41">
        <f t="shared" si="4"/>
        <v>3.3093838449814936E-2</v>
      </c>
      <c r="J47" s="41">
        <f t="shared" si="8"/>
        <v>67.842368822120619</v>
      </c>
      <c r="K47" s="41">
        <f t="shared" si="9"/>
        <v>1.5487771246099136</v>
      </c>
      <c r="L47" s="43">
        <f t="shared" si="10"/>
        <v>706.24236882212062</v>
      </c>
      <c r="M47" s="42">
        <f t="shared" si="11"/>
        <v>846.47396029670597</v>
      </c>
      <c r="N47" s="42">
        <f t="shared" si="13"/>
        <v>108.54150228608752</v>
      </c>
      <c r="O47" s="42">
        <f t="shared" si="5"/>
        <v>0.23802961027650771</v>
      </c>
      <c r="P47" s="42">
        <f t="shared" si="12"/>
        <v>955.01546258279348</v>
      </c>
      <c r="Q47" s="46">
        <f t="shared" si="6"/>
        <v>2.0943321547868279</v>
      </c>
    </row>
    <row r="48" spans="1:17">
      <c r="A48" s="14">
        <v>16</v>
      </c>
      <c r="B48" s="64" t="s">
        <v>61</v>
      </c>
      <c r="C48" s="65">
        <v>15199</v>
      </c>
      <c r="D48" s="66" t="s">
        <v>98</v>
      </c>
      <c r="E48" s="67" t="s">
        <v>83</v>
      </c>
      <c r="F48" s="68">
        <v>264</v>
      </c>
      <c r="G48" s="69">
        <v>369.59999999999997</v>
      </c>
      <c r="H48" s="43">
        <f t="shared" si="7"/>
        <v>1.4</v>
      </c>
      <c r="I48" s="41">
        <f t="shared" si="4"/>
        <v>1.9159590681471803E-2</v>
      </c>
      <c r="J48" s="41">
        <f t="shared" si="8"/>
        <v>39.277160897017197</v>
      </c>
      <c r="K48" s="41">
        <f t="shared" si="9"/>
        <v>1.5487771246099136</v>
      </c>
      <c r="L48" s="43">
        <f t="shared" si="10"/>
        <v>408.87716089701718</v>
      </c>
      <c r="M48" s="42">
        <f t="shared" si="11"/>
        <v>490.06387175072445</v>
      </c>
      <c r="N48" s="42">
        <f t="shared" si="13"/>
        <v>62.839817112998034</v>
      </c>
      <c r="O48" s="42">
        <f t="shared" si="5"/>
        <v>0.23802961027650771</v>
      </c>
      <c r="P48" s="42">
        <f t="shared" si="12"/>
        <v>552.90368886372244</v>
      </c>
      <c r="Q48" s="46">
        <f t="shared" si="6"/>
        <v>2.0943321547868274</v>
      </c>
    </row>
    <row r="49" spans="1:17">
      <c r="A49" s="14">
        <v>17</v>
      </c>
      <c r="B49" s="64" t="s">
        <v>62</v>
      </c>
      <c r="C49" s="65">
        <v>15201</v>
      </c>
      <c r="D49" s="66" t="s">
        <v>99</v>
      </c>
      <c r="E49" s="67" t="s">
        <v>83</v>
      </c>
      <c r="F49" s="68">
        <v>180</v>
      </c>
      <c r="G49" s="69">
        <v>180</v>
      </c>
      <c r="H49" s="43">
        <f t="shared" si="7"/>
        <v>1</v>
      </c>
      <c r="I49" s="41">
        <f t="shared" si="4"/>
        <v>1.3063357282821686E-2</v>
      </c>
      <c r="J49" s="41">
        <f t="shared" si="8"/>
        <v>26.779882429784454</v>
      </c>
      <c r="K49" s="41">
        <f t="shared" si="9"/>
        <v>1.1487771246099137</v>
      </c>
      <c r="L49" s="43">
        <f t="shared" si="10"/>
        <v>206.77988242978446</v>
      </c>
      <c r="M49" s="42">
        <f t="shared" si="11"/>
        <v>247.83812713183764</v>
      </c>
      <c r="N49" s="42">
        <f t="shared" si="13"/>
        <v>42.845329849771389</v>
      </c>
      <c r="O49" s="42">
        <f t="shared" si="5"/>
        <v>0.23802961027650771</v>
      </c>
      <c r="P49" s="42">
        <f t="shared" si="12"/>
        <v>290.68345698160903</v>
      </c>
      <c r="Q49" s="46">
        <f t="shared" si="6"/>
        <v>1.6149080943422724</v>
      </c>
    </row>
    <row r="50" spans="1:17">
      <c r="A50" s="14">
        <v>18</v>
      </c>
      <c r="B50" s="64" t="s">
        <v>63</v>
      </c>
      <c r="C50" s="65">
        <v>15202</v>
      </c>
      <c r="D50" s="66" t="s">
        <v>100</v>
      </c>
      <c r="E50" s="67" t="s">
        <v>83</v>
      </c>
      <c r="F50" s="68">
        <v>1140</v>
      </c>
      <c r="G50" s="69">
        <v>1322.3999999999999</v>
      </c>
      <c r="H50" s="43">
        <f t="shared" si="7"/>
        <v>1.1599999999999999</v>
      </c>
      <c r="I50" s="41">
        <f t="shared" si="4"/>
        <v>8.2734596124537346E-2</v>
      </c>
      <c r="J50" s="41">
        <f t="shared" si="8"/>
        <v>169.60592205530156</v>
      </c>
      <c r="K50" s="41">
        <f t="shared" si="9"/>
        <v>1.3087771246099136</v>
      </c>
      <c r="L50" s="43">
        <f t="shared" si="10"/>
        <v>1492.0059220553014</v>
      </c>
      <c r="M50" s="42">
        <f t="shared" si="11"/>
        <v>1788.2588433976887</v>
      </c>
      <c r="N50" s="42">
        <f t="shared" si="13"/>
        <v>271.35375571521882</v>
      </c>
      <c r="O50" s="42">
        <f t="shared" si="5"/>
        <v>0.23802961027650774</v>
      </c>
      <c r="P50" s="42">
        <f t="shared" si="12"/>
        <v>2059.6125991129074</v>
      </c>
      <c r="Q50" s="46">
        <f t="shared" si="6"/>
        <v>1.8066777185200942</v>
      </c>
    </row>
    <row r="51" spans="1:17">
      <c r="A51" s="14">
        <v>19</v>
      </c>
      <c r="B51" s="64" t="s">
        <v>129</v>
      </c>
      <c r="C51" s="65">
        <v>15589</v>
      </c>
      <c r="D51" s="66" t="s">
        <v>101</v>
      </c>
      <c r="E51" s="67" t="s">
        <v>83</v>
      </c>
      <c r="F51" s="68">
        <v>576</v>
      </c>
      <c r="G51" s="69">
        <v>1278.72</v>
      </c>
      <c r="H51" s="43">
        <f t="shared" si="7"/>
        <v>2.2200000000000002</v>
      </c>
      <c r="I51" s="41">
        <f t="shared" si="4"/>
        <v>4.1802743305029394E-2</v>
      </c>
      <c r="J51" s="41">
        <f t="shared" si="8"/>
        <v>85.695623775310253</v>
      </c>
      <c r="K51" s="41">
        <f t="shared" si="9"/>
        <v>2.3687771246099136</v>
      </c>
      <c r="L51" s="43">
        <f t="shared" si="10"/>
        <v>1364.4156237753102</v>
      </c>
      <c r="M51" s="42">
        <f t="shared" si="11"/>
        <v>1635.3341962108752</v>
      </c>
      <c r="N51" s="42">
        <f t="shared" si="13"/>
        <v>137.10505551926846</v>
      </c>
      <c r="O51" s="42">
        <f t="shared" si="5"/>
        <v>0.23802961027650774</v>
      </c>
      <c r="P51" s="42">
        <f t="shared" si="12"/>
        <v>1772.4392517301437</v>
      </c>
      <c r="Q51" s="46">
        <f t="shared" si="6"/>
        <v>3.0771514786981662</v>
      </c>
    </row>
    <row r="52" spans="1:17">
      <c r="A52" s="14">
        <v>20</v>
      </c>
      <c r="B52" s="64" t="s">
        <v>130</v>
      </c>
      <c r="C52" s="65">
        <v>15727</v>
      </c>
      <c r="D52" s="66" t="s">
        <v>102</v>
      </c>
      <c r="E52" s="67" t="s">
        <v>83</v>
      </c>
      <c r="F52" s="68">
        <v>360</v>
      </c>
      <c r="G52" s="69">
        <v>503.99999999999994</v>
      </c>
      <c r="H52" s="43">
        <f t="shared" si="7"/>
        <v>1.4</v>
      </c>
      <c r="I52" s="41">
        <f t="shared" si="4"/>
        <v>2.6126714565643371E-2</v>
      </c>
      <c r="J52" s="41">
        <f t="shared" si="8"/>
        <v>53.559764859568908</v>
      </c>
      <c r="K52" s="41">
        <f t="shared" si="9"/>
        <v>1.5487771246099136</v>
      </c>
      <c r="L52" s="43">
        <f t="shared" si="10"/>
        <v>557.55976485956887</v>
      </c>
      <c r="M52" s="42">
        <f t="shared" si="11"/>
        <v>668.26891602371518</v>
      </c>
      <c r="N52" s="42">
        <f t="shared" si="13"/>
        <v>85.690659699542778</v>
      </c>
      <c r="O52" s="42">
        <f t="shared" si="5"/>
        <v>0.23802961027650771</v>
      </c>
      <c r="P52" s="42">
        <f t="shared" si="12"/>
        <v>753.95957572325801</v>
      </c>
      <c r="Q52" s="46">
        <f t="shared" si="6"/>
        <v>2.0943321547868279</v>
      </c>
    </row>
    <row r="53" spans="1:17">
      <c r="A53" s="14">
        <v>21</v>
      </c>
      <c r="B53" s="64" t="s">
        <v>64</v>
      </c>
      <c r="C53" s="65">
        <v>15730</v>
      </c>
      <c r="D53" s="66" t="s">
        <v>103</v>
      </c>
      <c r="E53" s="67" t="s">
        <v>83</v>
      </c>
      <c r="F53" s="68">
        <v>360</v>
      </c>
      <c r="G53" s="69">
        <v>503.99999999999994</v>
      </c>
      <c r="H53" s="43">
        <f t="shared" si="7"/>
        <v>1.4</v>
      </c>
      <c r="I53" s="41">
        <f t="shared" si="4"/>
        <v>2.6126714565643371E-2</v>
      </c>
      <c r="J53" s="41">
        <f t="shared" si="8"/>
        <v>53.559764859568908</v>
      </c>
      <c r="K53" s="41">
        <f t="shared" si="9"/>
        <v>1.5487771246099136</v>
      </c>
      <c r="L53" s="43">
        <f t="shared" si="10"/>
        <v>557.55976485956887</v>
      </c>
      <c r="M53" s="42">
        <f t="shared" si="11"/>
        <v>668.26891602371518</v>
      </c>
      <c r="N53" s="42">
        <f t="shared" si="13"/>
        <v>85.690659699542778</v>
      </c>
      <c r="O53" s="42">
        <f t="shared" si="5"/>
        <v>0.23802961027650771</v>
      </c>
      <c r="P53" s="42">
        <f t="shared" si="12"/>
        <v>753.95957572325801</v>
      </c>
      <c r="Q53" s="46">
        <f t="shared" si="6"/>
        <v>2.0943321547868279</v>
      </c>
    </row>
    <row r="54" spans="1:17">
      <c r="A54" s="14">
        <v>22</v>
      </c>
      <c r="B54" s="64" t="s">
        <v>131</v>
      </c>
      <c r="C54" s="65">
        <v>15735</v>
      </c>
      <c r="D54" s="66" t="s">
        <v>104</v>
      </c>
      <c r="E54" s="67" t="s">
        <v>83</v>
      </c>
      <c r="F54" s="68">
        <v>396</v>
      </c>
      <c r="G54" s="69">
        <v>427.68</v>
      </c>
      <c r="H54" s="43">
        <f t="shared" si="7"/>
        <v>1.08</v>
      </c>
      <c r="I54" s="41">
        <f t="shared" si="4"/>
        <v>2.8739386022207707E-2</v>
      </c>
      <c r="J54" s="41">
        <f t="shared" si="8"/>
        <v>58.915741345525795</v>
      </c>
      <c r="K54" s="41">
        <f t="shared" si="9"/>
        <v>1.2287771246099137</v>
      </c>
      <c r="L54" s="43">
        <f t="shared" si="10"/>
        <v>486.59574134552582</v>
      </c>
      <c r="M54" s="42">
        <f t="shared" si="11"/>
        <v>583.21426527725157</v>
      </c>
      <c r="N54" s="42">
        <f t="shared" si="13"/>
        <v>94.259725669497058</v>
      </c>
      <c r="O54" s="42">
        <f t="shared" si="5"/>
        <v>0.23802961027650774</v>
      </c>
      <c r="P54" s="42">
        <f t="shared" si="12"/>
        <v>677.47399094674859</v>
      </c>
      <c r="Q54" s="46">
        <f t="shared" si="6"/>
        <v>1.7107929064311833</v>
      </c>
    </row>
    <row r="55" spans="1:17">
      <c r="A55" s="14">
        <v>23</v>
      </c>
      <c r="B55" s="64" t="s">
        <v>132</v>
      </c>
      <c r="C55" s="65">
        <v>15739</v>
      </c>
      <c r="D55" s="66" t="s">
        <v>105</v>
      </c>
      <c r="E55" s="67" t="s">
        <v>83</v>
      </c>
      <c r="F55" s="68">
        <v>384</v>
      </c>
      <c r="G55" s="69">
        <v>445.43999999999994</v>
      </c>
      <c r="H55" s="43">
        <f t="shared" si="7"/>
        <v>1.1599999999999999</v>
      </c>
      <c r="I55" s="41">
        <f t="shared" si="4"/>
        <v>2.7868495536686261E-2</v>
      </c>
      <c r="J55" s="41">
        <f t="shared" si="8"/>
        <v>57.130415850206838</v>
      </c>
      <c r="K55" s="41">
        <f t="shared" si="9"/>
        <v>1.3087771246099134</v>
      </c>
      <c r="L55" s="43">
        <f t="shared" si="10"/>
        <v>502.5704158502067</v>
      </c>
      <c r="M55" s="42">
        <f t="shared" si="11"/>
        <v>602.36087356553719</v>
      </c>
      <c r="N55" s="42">
        <f t="shared" si="13"/>
        <v>91.40337034617896</v>
      </c>
      <c r="O55" s="42">
        <f t="shared" si="5"/>
        <v>0.23802961027650771</v>
      </c>
      <c r="P55" s="42">
        <f t="shared" si="12"/>
        <v>693.76424391171611</v>
      </c>
      <c r="Q55" s="46">
        <f t="shared" si="6"/>
        <v>1.806677718520094</v>
      </c>
    </row>
    <row r="56" spans="1:17">
      <c r="A56" s="14">
        <v>24</v>
      </c>
      <c r="B56" s="64" t="s">
        <v>65</v>
      </c>
      <c r="C56" s="65">
        <v>15780</v>
      </c>
      <c r="D56" s="66" t="s">
        <v>106</v>
      </c>
      <c r="E56" s="67" t="s">
        <v>83</v>
      </c>
      <c r="F56" s="68">
        <v>210</v>
      </c>
      <c r="G56" s="69">
        <v>207.9</v>
      </c>
      <c r="H56" s="43">
        <f t="shared" si="7"/>
        <v>0.99</v>
      </c>
      <c r="I56" s="41">
        <f t="shared" si="4"/>
        <v>1.52405834966253E-2</v>
      </c>
      <c r="J56" s="41">
        <f t="shared" si="8"/>
        <v>31.243196168081866</v>
      </c>
      <c r="K56" s="41">
        <f t="shared" si="9"/>
        <v>1.1387771246099136</v>
      </c>
      <c r="L56" s="43">
        <f t="shared" si="10"/>
        <v>239.14319616808186</v>
      </c>
      <c r="M56" s="42">
        <f t="shared" si="11"/>
        <v>286.62750533647664</v>
      </c>
      <c r="N56" s="42">
        <f t="shared" si="13"/>
        <v>49.986218158066627</v>
      </c>
      <c r="O56" s="42">
        <f t="shared" si="5"/>
        <v>0.23802961027650774</v>
      </c>
      <c r="P56" s="42">
        <f t="shared" si="12"/>
        <v>336.61372349454325</v>
      </c>
      <c r="Q56" s="46">
        <f t="shared" si="6"/>
        <v>1.6029224928311583</v>
      </c>
    </row>
    <row r="57" spans="1:17">
      <c r="A57" s="14">
        <v>25</v>
      </c>
      <c r="B57" s="64" t="s">
        <v>66</v>
      </c>
      <c r="C57" s="65">
        <v>15800</v>
      </c>
      <c r="D57" s="66" t="s">
        <v>107</v>
      </c>
      <c r="E57" s="67" t="s">
        <v>83</v>
      </c>
      <c r="F57" s="68">
        <v>264</v>
      </c>
      <c r="G57" s="69">
        <v>195.35999999999999</v>
      </c>
      <c r="H57" s="43">
        <f t="shared" si="7"/>
        <v>0.74</v>
      </c>
      <c r="I57" s="41">
        <f t="shared" si="4"/>
        <v>1.9159590681471803E-2</v>
      </c>
      <c r="J57" s="41">
        <f t="shared" si="8"/>
        <v>39.277160897017197</v>
      </c>
      <c r="K57" s="41">
        <f t="shared" si="9"/>
        <v>0.88877712460991354</v>
      </c>
      <c r="L57" s="43">
        <f t="shared" si="10"/>
        <v>234.63716089701717</v>
      </c>
      <c r="M57" s="42">
        <f t="shared" si="11"/>
        <v>281.2267510210761</v>
      </c>
      <c r="N57" s="42">
        <f t="shared" si="13"/>
        <v>62.839817112998034</v>
      </c>
      <c r="O57" s="42">
        <f t="shared" si="5"/>
        <v>0.23802961027650771</v>
      </c>
      <c r="P57" s="42">
        <f t="shared" si="12"/>
        <v>344.06656813407415</v>
      </c>
      <c r="Q57" s="46">
        <f t="shared" si="6"/>
        <v>1.3032824550533111</v>
      </c>
    </row>
    <row r="58" spans="1:17">
      <c r="A58" s="14">
        <v>26</v>
      </c>
      <c r="B58" s="64" t="s">
        <v>133</v>
      </c>
      <c r="C58" s="65">
        <v>15958</v>
      </c>
      <c r="D58" s="66" t="s">
        <v>108</v>
      </c>
      <c r="E58" s="67" t="s">
        <v>83</v>
      </c>
      <c r="F58" s="68">
        <v>180</v>
      </c>
      <c r="G58" s="69">
        <v>259.2</v>
      </c>
      <c r="H58" s="43">
        <f t="shared" si="7"/>
        <v>1.44</v>
      </c>
      <c r="I58" s="41">
        <f t="shared" si="4"/>
        <v>1.3063357282821686E-2</v>
      </c>
      <c r="J58" s="41">
        <f t="shared" si="8"/>
        <v>26.779882429784454</v>
      </c>
      <c r="K58" s="41">
        <f t="shared" si="9"/>
        <v>1.5887771246099134</v>
      </c>
      <c r="L58" s="43">
        <f t="shared" si="10"/>
        <v>285.97988242978442</v>
      </c>
      <c r="M58" s="42">
        <f t="shared" si="11"/>
        <v>342.76409109985957</v>
      </c>
      <c r="N58" s="42">
        <f t="shared" si="13"/>
        <v>42.845329849771389</v>
      </c>
      <c r="O58" s="42">
        <f t="shared" si="5"/>
        <v>0.23802961027650771</v>
      </c>
      <c r="P58" s="42">
        <f t="shared" si="12"/>
        <v>385.60942094963093</v>
      </c>
      <c r="Q58" s="46">
        <f t="shared" si="6"/>
        <v>2.1422745608312828</v>
      </c>
    </row>
    <row r="59" spans="1:17">
      <c r="A59" s="14">
        <v>27</v>
      </c>
      <c r="B59" s="64" t="s">
        <v>67</v>
      </c>
      <c r="C59" s="65">
        <v>15939</v>
      </c>
      <c r="D59" s="66" t="s">
        <v>109</v>
      </c>
      <c r="E59" s="67" t="s">
        <v>83</v>
      </c>
      <c r="F59" s="68">
        <v>120</v>
      </c>
      <c r="G59" s="69">
        <v>213.6</v>
      </c>
      <c r="H59" s="43">
        <f t="shared" si="7"/>
        <v>1.78</v>
      </c>
      <c r="I59" s="41">
        <f t="shared" si="4"/>
        <v>8.7089048552144565E-3</v>
      </c>
      <c r="J59" s="41">
        <f t="shared" si="8"/>
        <v>17.853254953189637</v>
      </c>
      <c r="K59" s="41">
        <f t="shared" si="9"/>
        <v>1.9287771246099135</v>
      </c>
      <c r="L59" s="43">
        <f t="shared" si="10"/>
        <v>231.45325495318963</v>
      </c>
      <c r="M59" s="42">
        <f t="shared" si="11"/>
        <v>277.41064823191772</v>
      </c>
      <c r="N59" s="42">
        <f t="shared" si="13"/>
        <v>28.563553233180926</v>
      </c>
      <c r="O59" s="42">
        <f t="shared" si="5"/>
        <v>0.23802961027650771</v>
      </c>
      <c r="P59" s="42">
        <f t="shared" si="12"/>
        <v>305.97420146509864</v>
      </c>
      <c r="Q59" s="46">
        <f t="shared" si="6"/>
        <v>2.5497850122091554</v>
      </c>
    </row>
    <row r="60" spans="1:17">
      <c r="A60" s="14">
        <v>28</v>
      </c>
      <c r="B60" s="64" t="s">
        <v>134</v>
      </c>
      <c r="C60" s="65">
        <v>15953</v>
      </c>
      <c r="D60" s="66" t="s">
        <v>110</v>
      </c>
      <c r="E60" s="67" t="s">
        <v>83</v>
      </c>
      <c r="F60" s="68">
        <v>105</v>
      </c>
      <c r="G60" s="69">
        <v>128.1</v>
      </c>
      <c r="H60" s="43">
        <f t="shared" si="7"/>
        <v>1.22</v>
      </c>
      <c r="I60" s="41">
        <f t="shared" si="4"/>
        <v>7.6202917483126501E-3</v>
      </c>
      <c r="J60" s="41">
        <f t="shared" si="8"/>
        <v>15.621598084040933</v>
      </c>
      <c r="K60" s="41">
        <f t="shared" si="9"/>
        <v>1.3687771246099136</v>
      </c>
      <c r="L60" s="43">
        <f t="shared" si="10"/>
        <v>143.72159808404092</v>
      </c>
      <c r="M60" s="42">
        <f t="shared" si="11"/>
        <v>172.25898031757833</v>
      </c>
      <c r="N60" s="42">
        <f t="shared" si="13"/>
        <v>24.993109079033314</v>
      </c>
      <c r="O60" s="42">
        <f t="shared" si="5"/>
        <v>0.23802961027650774</v>
      </c>
      <c r="P60" s="42">
        <f t="shared" si="12"/>
        <v>197.25208939661164</v>
      </c>
      <c r="Q60" s="46">
        <f t="shared" si="6"/>
        <v>1.8785913275867776</v>
      </c>
    </row>
    <row r="61" spans="1:17">
      <c r="A61" s="14">
        <v>29</v>
      </c>
      <c r="B61" s="64" t="s">
        <v>135</v>
      </c>
      <c r="C61" s="65">
        <v>15981</v>
      </c>
      <c r="D61" s="66" t="s">
        <v>111</v>
      </c>
      <c r="E61" s="67" t="s">
        <v>83</v>
      </c>
      <c r="F61" s="68">
        <v>720</v>
      </c>
      <c r="G61" s="69">
        <v>1144.8</v>
      </c>
      <c r="H61" s="43">
        <f t="shared" si="7"/>
        <v>1.5899999999999999</v>
      </c>
      <c r="I61" s="41">
        <f t="shared" si="4"/>
        <v>5.2253429131286742E-2</v>
      </c>
      <c r="J61" s="41">
        <f t="shared" si="8"/>
        <v>107.11952971913782</v>
      </c>
      <c r="K61" s="41">
        <f t="shared" si="9"/>
        <v>1.7387771246099135</v>
      </c>
      <c r="L61" s="43">
        <f t="shared" si="10"/>
        <v>1251.9195297191377</v>
      </c>
      <c r="M61" s="42">
        <f t="shared" si="11"/>
        <v>1500.5008607194682</v>
      </c>
      <c r="N61" s="42">
        <f t="shared" si="13"/>
        <v>171.38131939908556</v>
      </c>
      <c r="O61" s="42">
        <f t="shared" si="5"/>
        <v>0.23802961027650771</v>
      </c>
      <c r="P61" s="42">
        <f t="shared" si="12"/>
        <v>1671.8821801185536</v>
      </c>
      <c r="Q61" s="46">
        <f t="shared" si="6"/>
        <v>2.322058583497991</v>
      </c>
    </row>
    <row r="62" spans="1:17">
      <c r="A62" s="14">
        <v>30</v>
      </c>
      <c r="B62" s="64" t="s">
        <v>136</v>
      </c>
      <c r="C62" s="65">
        <v>16328</v>
      </c>
      <c r="D62" s="66" t="s">
        <v>112</v>
      </c>
      <c r="E62" s="67" t="s">
        <v>83</v>
      </c>
      <c r="F62" s="68">
        <v>240</v>
      </c>
      <c r="G62" s="69">
        <v>420</v>
      </c>
      <c r="H62" s="43">
        <f t="shared" si="7"/>
        <v>1.75</v>
      </c>
      <c r="I62" s="41">
        <f t="shared" si="4"/>
        <v>1.7417809710428913E-2</v>
      </c>
      <c r="J62" s="41">
        <f t="shared" si="8"/>
        <v>35.706509906379274</v>
      </c>
      <c r="K62" s="41">
        <f t="shared" si="9"/>
        <v>1.8987771246099137</v>
      </c>
      <c r="L62" s="43">
        <f t="shared" si="10"/>
        <v>455.70650990637927</v>
      </c>
      <c r="M62" s="42">
        <f t="shared" si="11"/>
        <v>546.1916633758334</v>
      </c>
      <c r="N62" s="42">
        <f t="shared" si="13"/>
        <v>57.127106466361852</v>
      </c>
      <c r="O62" s="42">
        <f t="shared" si="5"/>
        <v>0.23802961027650771</v>
      </c>
      <c r="P62" s="42">
        <f t="shared" si="12"/>
        <v>603.31876984219525</v>
      </c>
      <c r="Q62" s="46">
        <f t="shared" si="6"/>
        <v>2.5138282076758136</v>
      </c>
    </row>
    <row r="63" spans="1:17">
      <c r="A63" s="14">
        <v>31</v>
      </c>
      <c r="B63" s="64" t="s">
        <v>137</v>
      </c>
      <c r="C63" s="65">
        <v>16329</v>
      </c>
      <c r="D63" s="66" t="s">
        <v>113</v>
      </c>
      <c r="E63" s="67" t="s">
        <v>83</v>
      </c>
      <c r="F63" s="68">
        <v>420</v>
      </c>
      <c r="G63" s="69">
        <v>735</v>
      </c>
      <c r="H63" s="43">
        <f t="shared" si="7"/>
        <v>1.75</v>
      </c>
      <c r="I63" s="41">
        <f t="shared" si="4"/>
        <v>3.04811669932506E-2</v>
      </c>
      <c r="J63" s="41">
        <f t="shared" si="8"/>
        <v>62.486392336163732</v>
      </c>
      <c r="K63" s="41">
        <f t="shared" si="9"/>
        <v>1.8987771246099137</v>
      </c>
      <c r="L63" s="43">
        <f t="shared" si="10"/>
        <v>797.4863923361637</v>
      </c>
      <c r="M63" s="42">
        <f t="shared" si="11"/>
        <v>955.83541090770848</v>
      </c>
      <c r="N63" s="42">
        <f t="shared" si="13"/>
        <v>99.972436316133255</v>
      </c>
      <c r="O63" s="42">
        <f t="shared" si="5"/>
        <v>0.23802961027650774</v>
      </c>
      <c r="P63" s="42">
        <f t="shared" si="12"/>
        <v>1055.8078472238417</v>
      </c>
      <c r="Q63" s="46">
        <f t="shared" si="6"/>
        <v>2.5138282076758136</v>
      </c>
    </row>
    <row r="64" spans="1:17">
      <c r="A64" s="14">
        <v>32</v>
      </c>
      <c r="B64" s="64" t="s">
        <v>68</v>
      </c>
      <c r="C64" s="65">
        <v>16332</v>
      </c>
      <c r="D64" s="66" t="s">
        <v>114</v>
      </c>
      <c r="E64" s="67" t="s">
        <v>83</v>
      </c>
      <c r="F64" s="68">
        <v>240</v>
      </c>
      <c r="G64" s="69">
        <v>360</v>
      </c>
      <c r="H64" s="43">
        <f t="shared" si="7"/>
        <v>1.5</v>
      </c>
      <c r="I64" s="41">
        <f t="shared" si="4"/>
        <v>1.7417809710428913E-2</v>
      </c>
      <c r="J64" s="41">
        <f t="shared" si="8"/>
        <v>35.706509906379274</v>
      </c>
      <c r="K64" s="41">
        <f t="shared" si="9"/>
        <v>1.6487771246099137</v>
      </c>
      <c r="L64" s="43">
        <f t="shared" si="10"/>
        <v>395.70650990637927</v>
      </c>
      <c r="M64" s="42">
        <f t="shared" si="11"/>
        <v>474.27805430915009</v>
      </c>
      <c r="N64" s="42">
        <f t="shared" si="13"/>
        <v>57.127106466361852</v>
      </c>
      <c r="O64" s="42">
        <f t="shared" si="5"/>
        <v>0.23802961027650771</v>
      </c>
      <c r="P64" s="42">
        <f t="shared" si="12"/>
        <v>531.40516077551194</v>
      </c>
      <c r="Q64" s="46">
        <f t="shared" si="6"/>
        <v>2.2141881698979664</v>
      </c>
    </row>
    <row r="65" spans="1:17">
      <c r="A65" s="14">
        <v>33</v>
      </c>
      <c r="B65" s="64" t="s">
        <v>69</v>
      </c>
      <c r="C65" s="65">
        <v>16333</v>
      </c>
      <c r="D65" s="66" t="s">
        <v>115</v>
      </c>
      <c r="E65" s="67" t="s">
        <v>83</v>
      </c>
      <c r="F65" s="68">
        <v>324</v>
      </c>
      <c r="G65" s="69">
        <v>456.84</v>
      </c>
      <c r="H65" s="43">
        <f t="shared" si="7"/>
        <v>1.41</v>
      </c>
      <c r="I65" s="41">
        <f t="shared" si="4"/>
        <v>2.3514043109079032E-2</v>
      </c>
      <c r="J65" s="41">
        <f t="shared" si="8"/>
        <v>48.203788373612014</v>
      </c>
      <c r="K65" s="41">
        <f t="shared" si="9"/>
        <v>1.5587771246099134</v>
      </c>
      <c r="L65" s="43">
        <f t="shared" si="10"/>
        <v>505.0437883736119</v>
      </c>
      <c r="M65" s="42">
        <f t="shared" si="11"/>
        <v>605.32535931094446</v>
      </c>
      <c r="N65" s="42">
        <f t="shared" si="13"/>
        <v>77.121593729588497</v>
      </c>
      <c r="O65" s="42">
        <f t="shared" ref="O65:O69" si="14">+N65/F65</f>
        <v>0.23802961027650771</v>
      </c>
      <c r="P65" s="42">
        <f t="shared" si="12"/>
        <v>682.446953040533</v>
      </c>
      <c r="Q65" s="46">
        <f t="shared" ref="Q65:Q69" si="15">+P65/F65</f>
        <v>2.1063177562979414</v>
      </c>
    </row>
    <row r="66" spans="1:17">
      <c r="A66" s="14">
        <v>34</v>
      </c>
      <c r="B66" s="64" t="s">
        <v>70</v>
      </c>
      <c r="C66" s="65">
        <v>16334</v>
      </c>
      <c r="D66" s="66" t="s">
        <v>116</v>
      </c>
      <c r="E66" s="67" t="s">
        <v>83</v>
      </c>
      <c r="F66" s="68">
        <v>180</v>
      </c>
      <c r="G66" s="69">
        <v>219.6</v>
      </c>
      <c r="H66" s="43">
        <f t="shared" si="7"/>
        <v>1.22</v>
      </c>
      <c r="I66" s="41">
        <f t="shared" si="4"/>
        <v>1.3063357282821686E-2</v>
      </c>
      <c r="J66" s="41">
        <f t="shared" si="8"/>
        <v>26.779882429784454</v>
      </c>
      <c r="K66" s="41">
        <f t="shared" si="9"/>
        <v>1.3687771246099136</v>
      </c>
      <c r="L66" s="43">
        <f t="shared" si="10"/>
        <v>246.37988242978446</v>
      </c>
      <c r="M66" s="42">
        <f t="shared" si="11"/>
        <v>295.30110911584859</v>
      </c>
      <c r="N66" s="42">
        <f t="shared" si="13"/>
        <v>42.845329849771389</v>
      </c>
      <c r="O66" s="42">
        <f t="shared" si="14"/>
        <v>0.23802961027650771</v>
      </c>
      <c r="P66" s="42">
        <f t="shared" si="12"/>
        <v>338.14643896561995</v>
      </c>
      <c r="Q66" s="46">
        <f t="shared" si="15"/>
        <v>1.8785913275867776</v>
      </c>
    </row>
    <row r="67" spans="1:17">
      <c r="A67" s="14">
        <v>35</v>
      </c>
      <c r="B67" s="64" t="s">
        <v>71</v>
      </c>
      <c r="C67" s="70" t="s">
        <v>142</v>
      </c>
      <c r="D67" s="66" t="s">
        <v>140</v>
      </c>
      <c r="E67" s="67" t="s">
        <v>84</v>
      </c>
      <c r="F67" s="68">
        <v>192</v>
      </c>
      <c r="G67" s="69">
        <v>134.4</v>
      </c>
      <c r="H67" s="43">
        <f t="shared" si="7"/>
        <v>0.70000000000000007</v>
      </c>
      <c r="I67" s="41">
        <f t="shared" si="4"/>
        <v>1.3934247768343131E-2</v>
      </c>
      <c r="J67" s="41">
        <f t="shared" si="8"/>
        <v>28.565207925103419</v>
      </c>
      <c r="K67" s="41">
        <f t="shared" si="9"/>
        <v>0.84877712460991361</v>
      </c>
      <c r="L67" s="43">
        <f t="shared" si="10"/>
        <v>162.96520792510341</v>
      </c>
      <c r="M67" s="42">
        <f t="shared" si="11"/>
        <v>195.32360423661081</v>
      </c>
      <c r="N67" s="42">
        <f t="shared" si="13"/>
        <v>45.70168517308948</v>
      </c>
      <c r="O67" s="42">
        <f t="shared" si="14"/>
        <v>0.23802961027650771</v>
      </c>
      <c r="P67" s="42">
        <f t="shared" si="12"/>
        <v>241.02528940970029</v>
      </c>
      <c r="Q67" s="46">
        <f t="shared" si="15"/>
        <v>1.2553400490088558</v>
      </c>
    </row>
    <row r="68" spans="1:17">
      <c r="B68" s="64"/>
      <c r="C68" s="70" t="s">
        <v>139</v>
      </c>
      <c r="D68" s="66" t="s">
        <v>141</v>
      </c>
      <c r="E68" s="67"/>
      <c r="F68" s="68">
        <v>192</v>
      </c>
      <c r="G68" s="69">
        <v>134.4</v>
      </c>
      <c r="H68" s="43">
        <f t="shared" si="7"/>
        <v>0.70000000000000007</v>
      </c>
      <c r="I68" s="41">
        <f t="shared" si="4"/>
        <v>1.3934247768343131E-2</v>
      </c>
      <c r="J68" s="41">
        <f t="shared" si="8"/>
        <v>28.565207925103419</v>
      </c>
      <c r="K68" s="41">
        <f t="shared" si="9"/>
        <v>0.84877712460991361</v>
      </c>
      <c r="L68" s="43">
        <f t="shared" si="10"/>
        <v>162.96520792510341</v>
      </c>
      <c r="M68" s="42">
        <f t="shared" si="11"/>
        <v>195.32360423661081</v>
      </c>
      <c r="N68" s="42">
        <f t="shared" si="13"/>
        <v>45.70168517308948</v>
      </c>
      <c r="O68" s="42">
        <f t="shared" si="14"/>
        <v>0.23802961027650771</v>
      </c>
      <c r="P68" s="42">
        <f t="shared" si="12"/>
        <v>241.02528940970029</v>
      </c>
      <c r="Q68" s="46">
        <f t="shared" si="15"/>
        <v>1.2553400490088558</v>
      </c>
    </row>
    <row r="69" spans="1:17">
      <c r="A69" s="14">
        <v>36</v>
      </c>
      <c r="B69" s="64" t="s">
        <v>72</v>
      </c>
      <c r="C69" s="65">
        <v>15938</v>
      </c>
      <c r="D69" s="66" t="s">
        <v>117</v>
      </c>
      <c r="E69" s="67" t="s">
        <v>84</v>
      </c>
      <c r="F69" s="68">
        <f>120*2</f>
        <v>240</v>
      </c>
      <c r="G69" s="69">
        <v>172.79999999999998</v>
      </c>
      <c r="H69" s="43">
        <f t="shared" si="7"/>
        <v>0.72</v>
      </c>
      <c r="I69" s="41">
        <f t="shared" si="4"/>
        <v>1.7417809710428913E-2</v>
      </c>
      <c r="J69" s="41">
        <f t="shared" si="8"/>
        <v>35.706509906379274</v>
      </c>
      <c r="K69" s="41">
        <f t="shared" si="9"/>
        <v>0.86877712460991352</v>
      </c>
      <c r="L69" s="43">
        <f t="shared" si="10"/>
        <v>208.50650990637925</v>
      </c>
      <c r="M69" s="42">
        <f t="shared" si="11"/>
        <v>249.90759402109816</v>
      </c>
      <c r="N69" s="42">
        <f t="shared" si="13"/>
        <v>57.127106466361852</v>
      </c>
      <c r="O69" s="42">
        <f t="shared" si="14"/>
        <v>0.23802961027650771</v>
      </c>
      <c r="P69" s="42">
        <f t="shared" si="12"/>
        <v>307.03470048745999</v>
      </c>
      <c r="Q69" s="46">
        <f t="shared" si="15"/>
        <v>1.2793112520310832</v>
      </c>
    </row>
    <row r="70" spans="1:17">
      <c r="A70" s="14">
        <v>37</v>
      </c>
      <c r="B70" s="64" t="s">
        <v>73</v>
      </c>
      <c r="C70" s="65">
        <v>15942</v>
      </c>
      <c r="D70" s="66" t="s">
        <v>118</v>
      </c>
      <c r="E70" s="67" t="s">
        <v>84</v>
      </c>
      <c r="F70" s="68">
        <f>360*2</f>
        <v>720</v>
      </c>
      <c r="G70" s="69">
        <v>482.40000000000003</v>
      </c>
      <c r="H70" s="43">
        <f t="shared" ref="H70:H75" si="16">+G70/F70</f>
        <v>0.67</v>
      </c>
      <c r="I70" s="41">
        <f t="shared" si="4"/>
        <v>5.2253429131286742E-2</v>
      </c>
      <c r="J70" s="41">
        <f t="shared" ref="J70:J77" si="17">+F$11*I70</f>
        <v>107.11952971913782</v>
      </c>
      <c r="K70" s="41">
        <f t="shared" ref="K70:K75" si="18">+(G70+J70)/F70</f>
        <v>0.8187771246099137</v>
      </c>
      <c r="L70" s="43">
        <f t="shared" ref="L70:L77" si="19">+F70*K70</f>
        <v>589.51952971913784</v>
      </c>
      <c r="M70" s="42">
        <f t="shared" ref="M70:M77" si="20">+L70*J$10</f>
        <v>706.57461662328456</v>
      </c>
      <c r="N70" s="42">
        <f t="shared" ref="N70:N75" si="21">+J$29*I70</f>
        <v>171.38131939908556</v>
      </c>
      <c r="O70" s="42">
        <f t="shared" ref="O70:O75" si="22">+N70/F70</f>
        <v>0.23802961027650771</v>
      </c>
      <c r="P70" s="42">
        <f t="shared" ref="P70:P75" si="23">+M70+N70</f>
        <v>877.95593602237011</v>
      </c>
      <c r="Q70" s="46">
        <f t="shared" ref="Q70:Q75" si="24">+P70/F70</f>
        <v>1.2193832444755139</v>
      </c>
    </row>
    <row r="71" spans="1:17">
      <c r="A71" s="14">
        <v>38</v>
      </c>
      <c r="B71" s="64" t="s">
        <v>74</v>
      </c>
      <c r="C71" s="65">
        <v>15936</v>
      </c>
      <c r="D71" s="66" t="s">
        <v>119</v>
      </c>
      <c r="E71" s="67" t="s">
        <v>84</v>
      </c>
      <c r="F71" s="68">
        <f>240*2</f>
        <v>480</v>
      </c>
      <c r="G71" s="69">
        <v>345.59999999999997</v>
      </c>
      <c r="H71" s="43">
        <f t="shared" si="16"/>
        <v>0.72</v>
      </c>
      <c r="I71" s="41">
        <f t="shared" si="4"/>
        <v>3.4835619420857826E-2</v>
      </c>
      <c r="J71" s="41">
        <f t="shared" si="17"/>
        <v>71.413019812758549</v>
      </c>
      <c r="K71" s="41">
        <f t="shared" si="18"/>
        <v>0.86877712460991352</v>
      </c>
      <c r="L71" s="43">
        <f t="shared" si="19"/>
        <v>417.0130198127585</v>
      </c>
      <c r="M71" s="42">
        <f t="shared" si="20"/>
        <v>499.81518804219633</v>
      </c>
      <c r="N71" s="42">
        <f t="shared" si="21"/>
        <v>114.2542129327237</v>
      </c>
      <c r="O71" s="42">
        <f t="shared" si="22"/>
        <v>0.23802961027650771</v>
      </c>
      <c r="P71" s="42">
        <f t="shared" si="23"/>
        <v>614.06940097491997</v>
      </c>
      <c r="Q71" s="46">
        <f t="shared" si="24"/>
        <v>1.2793112520310832</v>
      </c>
    </row>
    <row r="72" spans="1:17">
      <c r="A72" s="14">
        <v>39</v>
      </c>
      <c r="B72" s="64" t="s">
        <v>75</v>
      </c>
      <c r="C72" s="65">
        <v>15175</v>
      </c>
      <c r="D72" s="66" t="s">
        <v>120</v>
      </c>
      <c r="E72" s="67" t="s">
        <v>83</v>
      </c>
      <c r="F72" s="68">
        <v>120</v>
      </c>
      <c r="G72" s="69">
        <v>199.2</v>
      </c>
      <c r="H72" s="43">
        <f t="shared" si="16"/>
        <v>1.66</v>
      </c>
      <c r="I72" s="41">
        <f t="shared" si="4"/>
        <v>8.7089048552144565E-3</v>
      </c>
      <c r="J72" s="41">
        <f t="shared" si="17"/>
        <v>17.853254953189637</v>
      </c>
      <c r="K72" s="41">
        <f t="shared" si="18"/>
        <v>1.8087771246099136</v>
      </c>
      <c r="L72" s="43">
        <f t="shared" si="19"/>
        <v>217.05325495318962</v>
      </c>
      <c r="M72" s="42">
        <f t="shared" si="20"/>
        <v>260.1513820559137</v>
      </c>
      <c r="N72" s="42">
        <f t="shared" si="21"/>
        <v>28.563553233180926</v>
      </c>
      <c r="O72" s="42">
        <f t="shared" si="22"/>
        <v>0.23802961027650771</v>
      </c>
      <c r="P72" s="42">
        <f t="shared" si="23"/>
        <v>288.71493528909463</v>
      </c>
      <c r="Q72" s="46">
        <f t="shared" si="24"/>
        <v>2.4059577940757886</v>
      </c>
    </row>
    <row r="73" spans="1:17">
      <c r="A73" s="14">
        <v>40</v>
      </c>
      <c r="B73" s="64" t="s">
        <v>76</v>
      </c>
      <c r="C73" s="65">
        <v>15791</v>
      </c>
      <c r="D73" s="66" t="s">
        <v>121</v>
      </c>
      <c r="E73" s="67" t="s">
        <v>83</v>
      </c>
      <c r="F73" s="68">
        <v>120</v>
      </c>
      <c r="G73" s="69">
        <v>170.39999999999998</v>
      </c>
      <c r="H73" s="43">
        <f t="shared" si="16"/>
        <v>1.4199999999999997</v>
      </c>
      <c r="I73" s="41">
        <f t="shared" si="4"/>
        <v>8.7089048552144565E-3</v>
      </c>
      <c r="J73" s="41">
        <f t="shared" si="17"/>
        <v>17.853254953189637</v>
      </c>
      <c r="K73" s="41">
        <f t="shared" si="18"/>
        <v>1.5687771246099134</v>
      </c>
      <c r="L73" s="43">
        <f t="shared" si="19"/>
        <v>188.25325495318961</v>
      </c>
      <c r="M73" s="42">
        <f t="shared" si="20"/>
        <v>225.63284970390569</v>
      </c>
      <c r="N73" s="42">
        <f t="shared" si="21"/>
        <v>28.563553233180926</v>
      </c>
      <c r="O73" s="42">
        <f t="shared" si="22"/>
        <v>0.23802961027650771</v>
      </c>
      <c r="P73" s="42">
        <f t="shared" si="23"/>
        <v>254.19640293708662</v>
      </c>
      <c r="Q73" s="46">
        <f t="shared" si="24"/>
        <v>2.1183033578090553</v>
      </c>
    </row>
    <row r="74" spans="1:17">
      <c r="A74" s="14">
        <v>41</v>
      </c>
      <c r="B74" s="64" t="s">
        <v>77</v>
      </c>
      <c r="C74" s="65" t="s">
        <v>78</v>
      </c>
      <c r="D74" s="66" t="s">
        <v>122</v>
      </c>
      <c r="E74" s="67" t="s">
        <v>83</v>
      </c>
      <c r="F74" s="68">
        <v>120</v>
      </c>
      <c r="G74" s="69">
        <v>111.60000000000001</v>
      </c>
      <c r="H74" s="43">
        <f t="shared" si="16"/>
        <v>0.93</v>
      </c>
      <c r="I74" s="41">
        <f t="shared" si="4"/>
        <v>8.7089048552144565E-3</v>
      </c>
      <c r="J74" s="41">
        <f t="shared" si="17"/>
        <v>17.853254953189637</v>
      </c>
      <c r="K74" s="41">
        <f t="shared" si="18"/>
        <v>1.0787771246099138</v>
      </c>
      <c r="L74" s="43">
        <f t="shared" si="19"/>
        <v>129.45325495318966</v>
      </c>
      <c r="M74" s="42">
        <f t="shared" si="20"/>
        <v>155.15751281855611</v>
      </c>
      <c r="N74" s="42">
        <f t="shared" si="21"/>
        <v>28.563553233180926</v>
      </c>
      <c r="O74" s="42">
        <f t="shared" si="22"/>
        <v>0.23802961027650771</v>
      </c>
      <c r="P74" s="42">
        <f t="shared" si="23"/>
        <v>183.72106605173704</v>
      </c>
      <c r="Q74" s="46">
        <f t="shared" si="24"/>
        <v>1.5310088837644753</v>
      </c>
    </row>
    <row r="75" spans="1:17">
      <c r="A75" s="14">
        <v>42</v>
      </c>
      <c r="B75" s="64" t="s">
        <v>138</v>
      </c>
      <c r="C75" s="65">
        <v>16218</v>
      </c>
      <c r="D75" s="66" t="s">
        <v>123</v>
      </c>
      <c r="E75" s="67" t="s">
        <v>83</v>
      </c>
      <c r="F75" s="68">
        <v>180</v>
      </c>
      <c r="G75" s="69">
        <v>246.60000000000002</v>
      </c>
      <c r="H75" s="43">
        <f t="shared" si="16"/>
        <v>1.37</v>
      </c>
      <c r="I75" s="41">
        <f t="shared" si="4"/>
        <v>1.3063357282821686E-2</v>
      </c>
      <c r="J75" s="41">
        <f t="shared" si="17"/>
        <v>26.779882429784454</v>
      </c>
      <c r="K75" s="41">
        <f t="shared" si="18"/>
        <v>1.5187771246099138</v>
      </c>
      <c r="L75" s="43">
        <f t="shared" si="19"/>
        <v>273.37988242978446</v>
      </c>
      <c r="M75" s="42">
        <f t="shared" si="20"/>
        <v>327.66223319585612</v>
      </c>
      <c r="N75" s="42">
        <f t="shared" si="21"/>
        <v>42.845329849771389</v>
      </c>
      <c r="O75" s="42">
        <f t="shared" si="22"/>
        <v>0.23802961027650771</v>
      </c>
      <c r="P75" s="42">
        <f t="shared" si="23"/>
        <v>370.50756304562753</v>
      </c>
      <c r="Q75" s="46">
        <f t="shared" si="24"/>
        <v>2.0583753502534865</v>
      </c>
    </row>
    <row r="76" spans="1:17">
      <c r="A76" s="14">
        <v>43</v>
      </c>
      <c r="B76" s="64" t="s">
        <v>41</v>
      </c>
      <c r="C76" s="65" t="s">
        <v>41</v>
      </c>
      <c r="D76" s="66" t="s">
        <v>81</v>
      </c>
      <c r="E76" s="67" t="s">
        <v>83</v>
      </c>
      <c r="F76" s="68">
        <v>0</v>
      </c>
      <c r="G76" s="69">
        <v>0</v>
      </c>
      <c r="H76" s="43"/>
      <c r="I76" s="41">
        <f t="shared" si="4"/>
        <v>0</v>
      </c>
      <c r="J76" s="41">
        <f t="shared" si="17"/>
        <v>0</v>
      </c>
      <c r="K76" s="41"/>
      <c r="L76" s="43">
        <f t="shared" si="19"/>
        <v>0</v>
      </c>
      <c r="M76" s="42">
        <f t="shared" si="20"/>
        <v>0</v>
      </c>
      <c r="N76" s="42"/>
      <c r="O76" s="42"/>
      <c r="P76" s="42"/>
      <c r="Q76" s="46"/>
    </row>
    <row r="77" spans="1:17">
      <c r="A77" s="14">
        <v>44</v>
      </c>
      <c r="B77" s="64" t="s">
        <v>79</v>
      </c>
      <c r="C77" s="65" t="s">
        <v>79</v>
      </c>
      <c r="D77" s="66" t="s">
        <v>82</v>
      </c>
      <c r="E77" s="67" t="s">
        <v>83</v>
      </c>
      <c r="F77" s="68">
        <v>0</v>
      </c>
      <c r="G77" s="69">
        <v>0</v>
      </c>
      <c r="H77" s="43"/>
      <c r="I77" s="41">
        <f t="shared" si="4"/>
        <v>0</v>
      </c>
      <c r="J77" s="41">
        <f t="shared" si="17"/>
        <v>0</v>
      </c>
      <c r="K77" s="41"/>
      <c r="L77" s="43">
        <f t="shared" si="19"/>
        <v>0</v>
      </c>
      <c r="M77" s="42">
        <f t="shared" si="20"/>
        <v>0</v>
      </c>
      <c r="N77" s="42"/>
      <c r="O77" s="42"/>
      <c r="P77" s="42"/>
      <c r="Q77" s="46"/>
    </row>
    <row r="78" spans="1:17" ht="14">
      <c r="B78" s="50"/>
      <c r="C78" s="60"/>
      <c r="D78" s="26"/>
      <c r="E78" s="48"/>
      <c r="F78" s="47"/>
      <c r="G78" s="43"/>
      <c r="H78" s="43"/>
      <c r="I78" s="41"/>
      <c r="J78" s="41"/>
      <c r="K78" s="41"/>
      <c r="L78" s="43"/>
      <c r="M78" s="42"/>
      <c r="N78" s="42"/>
      <c r="O78" s="42"/>
      <c r="P78" s="42"/>
      <c r="Q78" s="46"/>
    </row>
    <row r="79" spans="1:17" s="17" customFormat="1">
      <c r="A79" s="15"/>
      <c r="B79" s="15"/>
      <c r="C79" s="61"/>
      <c r="D79" s="15"/>
      <c r="E79" s="16"/>
      <c r="F79" s="16">
        <f>SUM(F33:F78)</f>
        <v>13779</v>
      </c>
      <c r="G79" s="16">
        <f>SUM(G33:G78)</f>
        <v>22281.719999999998</v>
      </c>
      <c r="H79" s="16">
        <f>SUM(H33:H78)</f>
        <v>76.11999999999999</v>
      </c>
      <c r="I79" s="16">
        <f>SUM(I33:I78)</f>
        <v>1.0000000000000002</v>
      </c>
      <c r="J79" s="16">
        <f>SUM(J33:J78)</f>
        <v>2050.0000000000005</v>
      </c>
      <c r="K79" s="16"/>
      <c r="L79" s="16">
        <f>SUM(L33:L78)</f>
        <v>24331.720000000005</v>
      </c>
      <c r="M79" s="16">
        <f>SUM(M33:M78)</f>
        <v>29163.030000000006</v>
      </c>
      <c r="N79" s="16">
        <f>SUM(N33:N78)</f>
        <v>3279.8099999999995</v>
      </c>
      <c r="O79" s="16"/>
      <c r="P79" s="16">
        <f>SUM(P33:P78)</f>
        <v>32442.839999999986</v>
      </c>
      <c r="Q79" s="16"/>
    </row>
    <row r="83" spans="16:16">
      <c r="P83" s="51"/>
    </row>
  </sheetData>
  <autoFilter ref="A32:V79" xr:uid="{BC821CE6-EE5E-4448-91A7-B824266AD2AD}"/>
  <mergeCells count="3">
    <mergeCell ref="A14:B14"/>
    <mergeCell ref="A29:E29"/>
    <mergeCell ref="A1:J2"/>
  </mergeCells>
  <phoneticPr fontId="1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 Contable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Nelly Susana Guañuna</dc:creator>
  <cp:lastModifiedBy>Fernando Espindola</cp:lastModifiedBy>
  <dcterms:created xsi:type="dcterms:W3CDTF">2024-05-30T21:03:05Z</dcterms:created>
  <dcterms:modified xsi:type="dcterms:W3CDTF">2026-09-09T16:56:48Z</dcterms:modified>
</cp:coreProperties>
</file>